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60" windowHeight="11180" tabRatio="500"/>
  </bookViews>
  <sheets>
    <sheet name="職務経歴書" sheetId="4" r:id="rId1"/>
  </sheets>
  <calcPr calcId="144525"/>
</workbook>
</file>

<file path=xl/sharedStrings.xml><?xml version="1.0" encoding="utf-8"?>
<sst xmlns="http://schemas.openxmlformats.org/spreadsheetml/2006/main" count="63">
  <si>
    <t>職 務 経 歴 書</t>
  </si>
  <si>
    <t>氏名(カナ）</t>
  </si>
  <si>
    <t>性別</t>
  </si>
  <si>
    <t>生年月日（XX年XX月）</t>
  </si>
  <si>
    <t>最終学歴（卒業年月）</t>
  </si>
  <si>
    <t>仝亜西(ドウアセイ)</t>
  </si>
  <si>
    <t>男</t>
  </si>
  <si>
    <t>1995年2月 (24歳)</t>
  </si>
  <si>
    <t>泰州学院(応用日语)2016年7月 卒業</t>
  </si>
  <si>
    <t>現住所</t>
  </si>
  <si>
    <t>最寄駅</t>
  </si>
  <si>
    <t>来日年月</t>
  </si>
  <si>
    <t>経験年数</t>
  </si>
  <si>
    <t>東京都江戸川区船堀2丁目</t>
  </si>
  <si>
    <t>都営新宿線/船堀駅</t>
  </si>
  <si>
    <t>2019年　　7月</t>
  </si>
  <si>
    <t>5年</t>
  </si>
  <si>
    <t>□ 得意分野</t>
  </si>
  <si>
    <t>Java4年、Spring、SpringMVC、SpringBoot、Seasar2</t>
  </si>
  <si>
    <t>JavaScript、CSS、Servlet、JSP、HTML、JQuery、Ajax、BootStrap、AngularJS、VUE.JS</t>
  </si>
  <si>
    <t>Mybatis、Redis</t>
  </si>
  <si>
    <t>豊富な開発経験、様々な障碍の修正が対応可能</t>
  </si>
  <si>
    <t>□ 保有資格</t>
  </si>
  <si>
    <t>JLPT N2</t>
  </si>
  <si>
    <t>日本語能力試験</t>
  </si>
  <si>
    <t>No.</t>
  </si>
  <si>
    <t>期間</t>
  </si>
  <si>
    <t>プロジェクト内容</t>
  </si>
  <si>
    <t>作業工程</t>
  </si>
  <si>
    <t>OS・ミドルウェア</t>
  </si>
  <si>
    <t>言語・ツール</t>
  </si>
  <si>
    <t>【案件名】
企業内部の情報発表システム
□ 概要
文章発表、文章管理、コメント管理、カテゴリ・タグ管理、権限管理、登録ログ、システムログ、ユーザー情報管理、Redis監視などを管理するシステム
□ 規模・チーム構成
PM：1人
デザイナー：1人
フロントエンド：3人
バックエンド：2人
□ 担当内容
①登録機能、文章発表、文章詳細画面、文章のコメント機能、登録ログ、システムログなどの設計と開発をする
②開発レビュー
③障害調査、分析、対応</t>
  </si>
  <si>
    <t>要件定義</t>
  </si>
  <si>
    <t>調査分析</t>
  </si>
  <si>
    <t>基本設計</t>
  </si>
  <si>
    <t>詳細設計</t>
  </si>
  <si>
    <t>製造</t>
  </si>
  <si>
    <t>単体テスト</t>
  </si>
  <si>
    <t>結合テスト</t>
  </si>
  <si>
    <t>総合テスト</t>
  </si>
  <si>
    <t>保守運用</t>
  </si>
  <si>
    <t>〜</t>
  </si>
  <si>
    <t>○</t>
  </si>
  <si>
    <t xml:space="preserve">□ OS
Mac OS
□ DB
MySql
□ サーバー
Tomcat
□ その他
フロントエンド：Vue.js
ElementUI
</t>
  </si>
  <si>
    <t>□ 開発言語
JAVA
□フレームワーク
Spring+SpringBoot+ MyBatis
権限フレームワーク：
Shiro
キャッシュフレームワーク：
Redis
テンプレートエンジン：
Thymeleaf 
□ 開発ツール
IntelliJ IDEA
SVN
Maven</t>
  </si>
  <si>
    <t>中国</t>
  </si>
  <si>
    <t>PG</t>
  </si>
  <si>
    <t>【案件名】
FrontSHIP異業種連携オプションデモ開発
（対日開発・日本富士通(北京)系统工程有限会社）
□ 概要
ログイン機能、Customer端末での写真取得、Shop端末での写真アップロード、Customer端末での住宅ローンシミュレーション
□ 規模・チーム構成
PM：1人
デザイナー：1人
フロントエンド：3人
バックエンド：1人
□ 担当内容
①住宅ローンロジックを開発する
②フロントエンド・バックエンド連携する
③TestFlightにAPPを発行する</t>
  </si>
  <si>
    <t>□ OS
Windows
□ DB
MySql
□ サーバー
Tomcat
□ その他
フロントエンド：
AngularJS
scss
JavaScript</t>
  </si>
  <si>
    <t>□ 開発言語
JAVA
□フレームワーク
SpringMVC
□ 開発ツール
Eclipse
SVN
Maven</t>
  </si>
  <si>
    <t>【案件名】
FrontSHIP異業種連携オプションデモ開発
（対日開発・日本富士通(北京)系统工程有限会社）
□ 概要
ログイン機能、アカウント新規機能、住宅ローンシミュレーション、権限管理、多設備登録制限、ログ出力
□ 規模・チーム構成
PM：1人
デザイナー：1人
フロントエンド：3人
バックエンド：1人
□ 担当内容
①システムに関する機能を開発する
②IT仕様書・ST仕様書を作成し、全員テストする
③フロントエンド・バックエンド連携する
④結合テストした結果、バグをレビューする
⑤バックエンドの発行に対して、日本側とメールで連絡する</t>
  </si>
  <si>
    <t>□ OS
Windows
□ DB
MySql
□ サーバー
Tomcat
□ その他
フロントエンド：
AngularJS
JavaScript
scss</t>
  </si>
  <si>
    <t>【案件名】
プロジェクト名：デジタルバンキングプロトタイプV7デモ開発
（対日開発・日本富士通(北京)系统工程有限会社）
□ 概要
支払い機能、住宅ローンシミュレーション
□ 規模・チーム構成
PM：1人
デザイナー：1人
フロントエンド：3人
バックエンド：1人
□ 担当内容
①住宅ローンシミュレーション機能を開発する
②フロントエンド・バックエンド連携する
③住宅ローンについてバグをレビューする</t>
  </si>
  <si>
    <t>【案件名】
旅行業務管理システム
□ 概要
プロダクト情報、旅行チーム情報、商品情報、登録機能、権限管理を管理するシステム
□ 規模・チーム構成
PM：1人
SE：1人
デザイナー：4人
フロントエンド：4人
バックエンド：5人
STE：2人
□ 担当内容
①システムについて需要調査を行う
②日常使用中に出てくる問題を収集する
③結合テスト、総合テスト、障害調査、分析、対応</t>
  </si>
  <si>
    <t>□ OS
Windows
□ DB
Oracle
□ サーバー
Tomcat
□ その他
フロントエンド：
JavaScript
Ajax
JQuery
Bootstrap</t>
  </si>
  <si>
    <t>□ 開発言語
JAVA
□フレームワーク
Spring+SpringMVC+Mybatis
□ 開発ツール
Eclipse
SVN
Maven</t>
  </si>
  <si>
    <t>【案件名】
蘇州版図社員管理システム
□ 概要
企業情報、部門管理、休暇管理、履歴書アップロード、給料管理、権限管理などをバックエンド管理開発するシステム
□ 規模・チーム構成
PM：1人
SE：1人
フロントエンド：4人
バックエンド：5人
STE：2人
□ 担当内容
①権限管理、休暇管理を開発する
②システムのバグをレビューする
③開発レビュー
④結合テスト、総合テスト、障害調査、分析、対応</t>
  </si>
  <si>
    <t>□ OS
Windows
□ DB
MySql
□ サーバー
Tomcat
□ その他
JavaScript
JQuery
JQGrid
Ajax</t>
  </si>
  <si>
    <t>【案件名】
企業社員の出勤管理システム
□ 概要
出勤一覧、部門一覧、部門管理、社員一覧、仕事配属、仕事タイミングをバックエンド管理開発するシステム
□ 規模・チーム構成
PM：1人
SE：1人
フロントエンド：２人
バックエンド：２人
□ 担当内容
①社員一覧、仕事配属、仕事タイミングを開発する
②システムのバグをレビューする
③開発レビュー
④結合テスト、総合テスト、障害調査、分析、対応</t>
  </si>
  <si>
    <t>□ OS
Windows
□ DB
MySql
□ サーバー
Tomcat
□ その他
JavaScript
JSP
CSS
Servelet</t>
  </si>
  <si>
    <t>□ 開発言語
JAVA
□フレームワーク
Spring+SpringMVC
□ 開発ツール
Eclipse
SVN
Maven</t>
  </si>
  <si>
    <t>備考</t>
  </si>
  <si>
    <t xml:space="preserve">
・趣味、特技： プログラミング
・日本語は日常会話、文書作成や、仕様書、資料など文書の理解は問題なく行えます。</t>
  </si>
</sst>
</file>

<file path=xl/styles.xml><?xml version="1.0" encoding="utf-8"?>
<styleSheet xmlns="http://schemas.openxmlformats.org/spreadsheetml/2006/main">
  <numFmts count="7">
    <numFmt numFmtId="176" formatCode="yyyy&quot;年&quot;m&quot;月&quot;;@"/>
    <numFmt numFmtId="177" formatCode="yyyy/m"/>
    <numFmt numFmtId="43" formatCode="_ * #,##0.00_ ;_ * \-#,##0.00_ ;_ * &quot;-&quot;??_ ;_ @_ "/>
    <numFmt numFmtId="44" formatCode="_ &quot;￥&quot;* #,##0.00_ ;_ &quot;￥&quot;* \-#,##0.00_ ;_ &quot;￥&quot;* &quot;-&quot;??_ ;_ @_ "/>
    <numFmt numFmtId="178" formatCode="yyyy&quot;年&quot;m&quot;月&quot;d&quot;日&quot;;@"/>
    <numFmt numFmtId="42" formatCode="_ &quot;￥&quot;* #,##0_ ;_ &quot;￥&quot;* \-#,##0_ ;_ &quot;￥&quot;* &quot;-&quot;_ ;_ @_ "/>
    <numFmt numFmtId="41" formatCode="_ * #,##0_ ;_ * \-#,##0_ ;_ * &quot;-&quot;_ ;_ @_ "/>
  </numFmts>
  <fonts count="31">
    <font>
      <sz val="12"/>
      <color theme="1"/>
      <name val="宋体"/>
      <charset val="128"/>
      <scheme val="minor"/>
    </font>
    <font>
      <sz val="12"/>
      <color theme="1"/>
      <name val="ＭＳ Ｐ明朝"/>
      <charset val="128"/>
    </font>
    <font>
      <sz val="16"/>
      <color theme="1"/>
      <name val="ＭＳ Ｐ明朝"/>
      <charset val="128"/>
    </font>
    <font>
      <sz val="9"/>
      <color theme="1"/>
      <name val="ＭＳ Ｐ明朝"/>
      <charset val="128"/>
    </font>
    <font>
      <sz val="8"/>
      <name val="ＭＳ Ｐ明朝"/>
      <charset val="128"/>
    </font>
    <font>
      <sz val="9"/>
      <name val="ＭＳ Ｐ明朝"/>
      <charset val="128"/>
    </font>
    <font>
      <sz val="10"/>
      <color theme="1"/>
      <name val="ＭＳ Ｐ明朝"/>
      <charset val="128"/>
    </font>
    <font>
      <sz val="8"/>
      <color theme="1"/>
      <name val="ＭＳ Ｐ明朝"/>
      <charset val="128"/>
    </font>
    <font>
      <sz val="9"/>
      <color theme="1"/>
      <name val="Arial Unicode MS"/>
      <charset val="128"/>
    </font>
    <font>
      <sz val="9"/>
      <color theme="1"/>
      <name val="宋体"/>
      <charset val="128"/>
      <scheme val="minor"/>
    </font>
    <font>
      <sz val="8"/>
      <color rgb="FF000000"/>
      <name val="ＭＳ Ｐ明朝"/>
      <charset val="128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2"/>
      <color theme="1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/>
        <bgColor rgb="FF99CCFF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4" fillId="1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7" fillId="27" borderId="29" applyNumberForma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26" fillId="14" borderId="29" applyNumberFormat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3" fillId="15" borderId="26" applyNumberFormat="0" applyAlignment="0" applyProtection="0">
      <alignment vertical="center"/>
    </xf>
    <xf numFmtId="0" fontId="21" fillId="14" borderId="24" applyNumberFormat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43" fontId="19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9" fillId="17" borderId="28" applyNumberFormat="0" applyFont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22" fillId="0" borderId="25" applyNumberFormat="0" applyFill="0" applyAlignment="0" applyProtection="0">
      <alignment vertical="center"/>
    </xf>
  </cellStyleXfs>
  <cellXfs count="123">
    <xf numFmtId="0" fontId="0" fillId="0" borderId="0" xfId="0"/>
    <xf numFmtId="0" fontId="1" fillId="0" borderId="0" xfId="0" applyNumberFormat="1" applyFont="1"/>
    <xf numFmtId="0" fontId="1" fillId="0" borderId="0" xfId="0" applyFont="1"/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2" xfId="0" applyBorder="1" applyAlignment="1"/>
    <xf numFmtId="49" fontId="5" fillId="0" borderId="3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6" fillId="0" borderId="0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horizontal="left" vertical="top" wrapText="1"/>
    </xf>
    <xf numFmtId="49" fontId="3" fillId="0" borderId="6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  <xf numFmtId="49" fontId="3" fillId="0" borderId="8" xfId="0" applyNumberFormat="1" applyFont="1" applyBorder="1" applyAlignment="1">
      <alignment horizontal="center" vertical="top" wrapText="1"/>
    </xf>
    <xf numFmtId="49" fontId="6" fillId="0" borderId="9" xfId="0" applyNumberFormat="1" applyFont="1" applyFill="1" applyBorder="1" applyAlignment="1">
      <alignment vertical="center"/>
    </xf>
    <xf numFmtId="0" fontId="3" fillId="0" borderId="9" xfId="0" applyFont="1" applyFill="1" applyBorder="1" applyAlignment="1">
      <alignment horizontal="center" vertical="center"/>
    </xf>
    <xf numFmtId="49" fontId="3" fillId="0" borderId="3" xfId="0" applyNumberFormat="1" applyFont="1" applyFill="1" applyBorder="1" applyAlignment="1">
      <alignment horizontal="left" vertical="center" indent="1"/>
    </xf>
    <xf numFmtId="0" fontId="0" fillId="0" borderId="4" xfId="0" applyFill="1" applyBorder="1" applyAlignment="1">
      <alignment horizontal="left" vertical="center" indent="1"/>
    </xf>
    <xf numFmtId="0" fontId="0" fillId="0" borderId="10" xfId="0" applyFill="1" applyBorder="1" applyAlignment="1">
      <alignment horizontal="left" vertical="center" indent="1"/>
    </xf>
    <xf numFmtId="0" fontId="3" fillId="0" borderId="0" xfId="0" applyNumberFormat="1" applyFont="1"/>
    <xf numFmtId="0" fontId="7" fillId="3" borderId="11" xfId="0" applyNumberFormat="1" applyFont="1" applyFill="1" applyBorder="1" applyAlignment="1">
      <alignment horizontal="center" vertical="center"/>
    </xf>
    <xf numFmtId="0" fontId="7" fillId="3" borderId="1" xfId="0" applyNumberFormat="1" applyFont="1" applyFill="1" applyBorder="1" applyAlignment="1">
      <alignment horizontal="center" vertical="center"/>
    </xf>
    <xf numFmtId="0" fontId="7" fillId="3" borderId="2" xfId="0" applyNumberFormat="1" applyFont="1" applyFill="1" applyBorder="1" applyAlignment="1">
      <alignment horizontal="center" vertical="center"/>
    </xf>
    <xf numFmtId="0" fontId="7" fillId="3" borderId="8" xfId="0" applyNumberFormat="1" applyFont="1" applyFill="1" applyBorder="1" applyAlignment="1">
      <alignment horizontal="center" vertical="center"/>
    </xf>
    <xf numFmtId="0" fontId="7" fillId="3" borderId="12" xfId="0" applyNumberFormat="1" applyFont="1" applyFill="1" applyBorder="1" applyAlignment="1">
      <alignment horizontal="center" vertical="center"/>
    </xf>
    <xf numFmtId="0" fontId="7" fillId="3" borderId="9" xfId="0" applyNumberFormat="1" applyFont="1" applyFill="1" applyBorder="1" applyAlignment="1">
      <alignment horizontal="center" vertical="center"/>
    </xf>
    <xf numFmtId="0" fontId="6" fillId="0" borderId="11" xfId="0" applyNumberFormat="1" applyFont="1" applyFill="1" applyBorder="1" applyAlignment="1">
      <alignment horizontal="center" vertical="center"/>
    </xf>
    <xf numFmtId="176" fontId="3" fillId="0" borderId="11" xfId="0" applyNumberFormat="1" applyFont="1" applyBorder="1" applyAlignment="1">
      <alignment horizontal="left" vertical="top"/>
    </xf>
    <xf numFmtId="0" fontId="0" fillId="0" borderId="13" xfId="0" applyNumberFormat="1" applyFill="1" applyBorder="1" applyAlignment="1">
      <alignment horizontal="center" vertical="center"/>
    </xf>
    <xf numFmtId="0" fontId="8" fillId="0" borderId="13" xfId="0" applyNumberFormat="1" applyFont="1" applyBorder="1" applyAlignment="1">
      <alignment horizontal="left" vertical="top"/>
    </xf>
    <xf numFmtId="0" fontId="3" fillId="0" borderId="13" xfId="0" applyNumberFormat="1" applyFont="1" applyBorder="1" applyAlignment="1">
      <alignment horizontal="left" vertical="top"/>
    </xf>
    <xf numFmtId="0" fontId="3" fillId="0" borderId="14" xfId="0" applyNumberFormat="1" applyFont="1" applyBorder="1" applyAlignment="1">
      <alignment horizontal="center" vertical="top"/>
    </xf>
    <xf numFmtId="0" fontId="3" fillId="0" borderId="0" xfId="0" applyNumberFormat="1" applyFont="1" applyBorder="1" applyAlignment="1">
      <alignment horizontal="center" vertical="top"/>
    </xf>
    <xf numFmtId="0" fontId="3" fillId="0" borderId="12" xfId="0" applyNumberFormat="1" applyFont="1" applyBorder="1" applyAlignment="1">
      <alignment horizontal="center" vertical="top"/>
    </xf>
    <xf numFmtId="0" fontId="3" fillId="0" borderId="9" xfId="0" applyNumberFormat="1" applyFont="1" applyBorder="1" applyAlignment="1">
      <alignment horizontal="center" vertical="top"/>
    </xf>
    <xf numFmtId="0" fontId="3" fillId="0" borderId="3" xfId="0" applyNumberFormat="1" applyFont="1" applyBorder="1" applyAlignment="1">
      <alignment horizontal="center" vertical="center"/>
    </xf>
    <xf numFmtId="0" fontId="3" fillId="0" borderId="4" xfId="0" applyNumberFormat="1" applyFont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3" fillId="0" borderId="13" xfId="0" applyFont="1" applyBorder="1" applyAlignment="1">
      <alignment horizontal="left" vertical="top"/>
    </xf>
    <xf numFmtId="0" fontId="3" fillId="0" borderId="14" xfId="0" applyFont="1" applyBorder="1" applyAlignment="1">
      <alignment horizontal="center" vertical="top"/>
    </xf>
    <xf numFmtId="0" fontId="3" fillId="0" borderId="0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6" fillId="0" borderId="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14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7" fillId="3" borderId="16" xfId="0" applyNumberFormat="1" applyFont="1" applyFill="1" applyBorder="1" applyAlignment="1">
      <alignment horizontal="center" vertical="center"/>
    </xf>
    <xf numFmtId="0" fontId="7" fillId="3" borderId="17" xfId="0" applyNumberFormat="1" applyFont="1" applyFill="1" applyBorder="1" applyAlignment="1">
      <alignment horizontal="center" vertical="center"/>
    </xf>
    <xf numFmtId="0" fontId="3" fillId="0" borderId="11" xfId="0" applyNumberFormat="1" applyFont="1" applyBorder="1" applyAlignment="1">
      <alignment horizontal="left" vertical="top" wrapText="1"/>
    </xf>
    <xf numFmtId="0" fontId="9" fillId="0" borderId="11" xfId="0" applyNumberFormat="1" applyFont="1" applyBorder="1" applyAlignment="1">
      <alignment horizontal="left" vertical="top" wrapText="1"/>
    </xf>
    <xf numFmtId="0" fontId="9" fillId="0" borderId="13" xfId="0" applyNumberFormat="1" applyFont="1" applyBorder="1" applyAlignment="1">
      <alignment horizontal="left" vertical="top" wrapText="1"/>
    </xf>
    <xf numFmtId="0" fontId="3" fillId="0" borderId="18" xfId="0" applyNumberFormat="1" applyFont="1" applyBorder="1" applyAlignment="1">
      <alignment horizontal="center" vertical="top"/>
    </xf>
    <xf numFmtId="0" fontId="3" fillId="0" borderId="17" xfId="0" applyNumberFormat="1" applyFont="1" applyBorder="1" applyAlignment="1">
      <alignment horizontal="center" vertical="top"/>
    </xf>
    <xf numFmtId="0" fontId="3" fillId="0" borderId="10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0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18" xfId="0" applyFont="1" applyBorder="1" applyAlignment="1">
      <alignment horizontal="left" vertical="top"/>
    </xf>
    <xf numFmtId="0" fontId="3" fillId="0" borderId="14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top" wrapText="1"/>
    </xf>
    <xf numFmtId="0" fontId="3" fillId="0" borderId="12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center" vertical="top"/>
    </xf>
    <xf numFmtId="0" fontId="3" fillId="0" borderId="18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77" fontId="5" fillId="0" borderId="3" xfId="0" applyNumberFormat="1" applyFont="1" applyFill="1" applyBorder="1" applyAlignment="1">
      <alignment horizontal="center" vertical="center"/>
    </xf>
    <xf numFmtId="177" fontId="5" fillId="0" borderId="4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177" fontId="5" fillId="0" borderId="10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5" xfId="0" applyNumberFormat="1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textRotation="255" wrapText="1"/>
    </xf>
    <xf numFmtId="0" fontId="10" fillId="0" borderId="13" xfId="0" applyFont="1" applyBorder="1" applyAlignment="1">
      <alignment horizontal="center" vertical="center" textRotation="255" wrapText="1"/>
    </xf>
    <xf numFmtId="0" fontId="10" fillId="0" borderId="19" xfId="0" applyFont="1" applyBorder="1" applyAlignment="1">
      <alignment horizontal="center" vertical="center" textRotation="255" wrapText="1"/>
    </xf>
    <xf numFmtId="0" fontId="3" fillId="0" borderId="20" xfId="0" applyNumberFormat="1" applyFont="1" applyBorder="1" applyAlignment="1">
      <alignment vertical="top" wrapText="1"/>
    </xf>
    <xf numFmtId="0" fontId="7" fillId="0" borderId="1" xfId="0" applyNumberFormat="1" applyFont="1" applyBorder="1" applyAlignment="1">
      <alignment horizontal="left" vertical="top" wrapText="1"/>
    </xf>
    <xf numFmtId="0" fontId="7" fillId="0" borderId="14" xfId="0" applyNumberFormat="1" applyFont="1" applyBorder="1" applyAlignment="1">
      <alignment horizontal="left" vertical="top" wrapText="1"/>
    </xf>
    <xf numFmtId="0" fontId="7" fillId="0" borderId="12" xfId="0" applyNumberFormat="1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3" fillId="0" borderId="18" xfId="0" applyFont="1" applyBorder="1" applyAlignment="1">
      <alignment horizontal="left" vertical="top" wrapText="1"/>
    </xf>
    <xf numFmtId="0" fontId="3" fillId="0" borderId="17" xfId="0" applyFont="1" applyBorder="1" applyAlignment="1">
      <alignment horizontal="left" vertical="top" wrapText="1"/>
    </xf>
    <xf numFmtId="178" fontId="6" fillId="0" borderId="9" xfId="0" applyNumberFormat="1" applyFont="1" applyBorder="1" applyAlignment="1">
      <alignment horizontal="center" vertical="center"/>
    </xf>
    <xf numFmtId="0" fontId="3" fillId="0" borderId="20" xfId="0" applyNumberFormat="1" applyFont="1" applyBorder="1" applyAlignment="1">
      <alignment horizontal="center" vertical="center" wrapText="1"/>
    </xf>
    <xf numFmtId="0" fontId="7" fillId="0" borderId="2" xfId="0" applyNumberFormat="1" applyFont="1" applyBorder="1" applyAlignment="1">
      <alignment horizontal="left" vertical="top" wrapText="1"/>
    </xf>
    <xf numFmtId="0" fontId="7" fillId="0" borderId="16" xfId="0" applyNumberFormat="1" applyFont="1" applyBorder="1" applyAlignment="1">
      <alignment horizontal="left" vertical="top" wrapText="1"/>
    </xf>
    <xf numFmtId="0" fontId="7" fillId="0" borderId="0" xfId="0" applyNumberFormat="1" applyFont="1" applyBorder="1" applyAlignment="1">
      <alignment horizontal="left" vertical="top" wrapText="1"/>
    </xf>
    <xf numFmtId="0" fontId="7" fillId="0" borderId="18" xfId="0" applyNumberFormat="1" applyFont="1" applyBorder="1" applyAlignment="1">
      <alignment horizontal="left" vertical="top" wrapText="1"/>
    </xf>
    <xf numFmtId="0" fontId="7" fillId="0" borderId="9" xfId="0" applyNumberFormat="1" applyFont="1" applyBorder="1" applyAlignment="1">
      <alignment horizontal="left" vertical="top" wrapText="1"/>
    </xf>
    <xf numFmtId="0" fontId="7" fillId="0" borderId="17" xfId="0" applyNumberFormat="1" applyFont="1" applyBorder="1" applyAlignment="1">
      <alignment horizontal="left" vertical="top" wrapText="1"/>
    </xf>
    <xf numFmtId="0" fontId="3" fillId="4" borderId="20" xfId="0" applyNumberFormat="1" applyFont="1" applyFill="1" applyBorder="1" applyAlignment="1">
      <alignment vertical="top" wrapText="1"/>
    </xf>
    <xf numFmtId="0" fontId="7" fillId="0" borderId="15" xfId="0" applyNumberFormat="1" applyFont="1" applyBorder="1" applyAlignment="1">
      <alignment horizontal="left" vertical="top" wrapText="1"/>
    </xf>
    <xf numFmtId="0" fontId="1" fillId="0" borderId="0" xfId="0" applyFont="1" applyBorder="1"/>
    <xf numFmtId="49" fontId="3" fillId="0" borderId="21" xfId="0" applyNumberFormat="1" applyFont="1" applyBorder="1" applyAlignment="1">
      <alignment horizontal="left" vertical="top" wrapText="1"/>
    </xf>
    <xf numFmtId="0" fontId="3" fillId="4" borderId="20" xfId="0" applyNumberFormat="1" applyFont="1" applyFill="1" applyBorder="1" applyAlignment="1">
      <alignment horizontal="center" vertical="center" wrapText="1"/>
    </xf>
    <xf numFmtId="0" fontId="1" fillId="0" borderId="15" xfId="0" applyNumberFormat="1" applyFont="1" applyBorder="1"/>
    <xf numFmtId="0" fontId="1" fillId="0" borderId="15" xfId="0" applyFont="1" applyBorder="1"/>
    <xf numFmtId="0" fontId="10" fillId="0" borderId="15" xfId="0" applyFont="1" applyBorder="1" applyAlignment="1">
      <alignment horizontal="center" vertical="center" textRotation="255" wrapText="1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/>
    <xf numFmtId="0" fontId="1" fillId="0" borderId="0" xfId="0" applyNumberFormat="1" applyFont="1" applyBorder="1"/>
    <xf numFmtId="0" fontId="3" fillId="3" borderId="15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left" vertical="top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>
    <pageSetUpPr fitToPage="1"/>
  </sheetPr>
  <dimension ref="A1:BQ78"/>
  <sheetViews>
    <sheetView tabSelected="1" zoomScale="150" zoomScaleNormal="150" topLeftCell="A11" workbookViewId="0">
      <selection activeCell="X18" sqref="$A18:$XFD18"/>
    </sheetView>
  </sheetViews>
  <sheetFormatPr defaultColWidth="2.66071428571429" defaultRowHeight="14" customHeight="1"/>
  <cols>
    <col min="1" max="1" width="2.92857142857143" style="2"/>
    <col min="2" max="20" width="2.66071428571429" style="2"/>
    <col min="21" max="21" width="2.66071428571429" style="2" customWidth="1"/>
    <col min="22" max="22" width="4.66071428571429" style="2" customWidth="1"/>
    <col min="23" max="31" width="3.16071428571429" style="2" customWidth="1"/>
    <col min="32" max="32" width="2.83035714285714" style="2" customWidth="1"/>
    <col min="33" max="16384" width="2.66071428571429" style="2"/>
  </cols>
  <sheetData>
    <row r="1" ht="26" customHeight="1" spans="1:68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117"/>
      <c r="AH1" s="117"/>
      <c r="AI1" s="117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</row>
    <row r="2" ht="13" customHeight="1" spans="1:6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101">
        <f ca="1">TODAY()</f>
        <v>44165</v>
      </c>
      <c r="AC2" s="101"/>
      <c r="AD2" s="101"/>
      <c r="AE2" s="101"/>
      <c r="AF2" s="101"/>
      <c r="AG2" s="117"/>
      <c r="AH2" s="117"/>
      <c r="AI2" s="117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</row>
    <row r="3" ht="11" customHeight="1" spans="1:68">
      <c r="A3" s="5" t="s">
        <v>1</v>
      </c>
      <c r="B3" s="6"/>
      <c r="C3" s="6"/>
      <c r="D3" s="6"/>
      <c r="E3" s="6"/>
      <c r="F3" s="6"/>
      <c r="G3" s="6"/>
      <c r="H3" s="6"/>
      <c r="I3" s="79" t="s">
        <v>2</v>
      </c>
      <c r="J3" s="10"/>
      <c r="K3" s="10"/>
      <c r="L3" s="80"/>
      <c r="M3" s="79" t="s">
        <v>3</v>
      </c>
      <c r="N3" s="10"/>
      <c r="O3" s="10"/>
      <c r="P3" s="10"/>
      <c r="Q3" s="10"/>
      <c r="R3" s="10"/>
      <c r="S3" s="10"/>
      <c r="T3" s="10"/>
      <c r="U3" s="89" t="s">
        <v>4</v>
      </c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118"/>
      <c r="AH3" s="118"/>
      <c r="AI3" s="118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/>
      <c r="AW3" s="111"/>
      <c r="AX3" s="111"/>
      <c r="AY3" s="111"/>
      <c r="AZ3" s="111"/>
      <c r="BA3" s="111"/>
      <c r="BB3" s="111"/>
      <c r="BC3" s="111"/>
      <c r="BD3" s="111"/>
      <c r="BE3" s="111"/>
      <c r="BF3" s="111"/>
      <c r="BG3" s="111"/>
      <c r="BH3" s="111"/>
      <c r="BI3" s="111"/>
      <c r="BJ3" s="111"/>
      <c r="BK3" s="111"/>
      <c r="BL3" s="111"/>
      <c r="BM3" s="111"/>
      <c r="BN3" s="111"/>
      <c r="BO3" s="111"/>
      <c r="BP3" s="111"/>
    </row>
    <row r="4" ht="18" customHeight="1" spans="1:68">
      <c r="A4" s="7" t="s">
        <v>5</v>
      </c>
      <c r="B4" s="8"/>
      <c r="C4" s="8"/>
      <c r="D4" s="8"/>
      <c r="E4" s="8"/>
      <c r="F4" s="8"/>
      <c r="G4" s="8"/>
      <c r="H4" s="8"/>
      <c r="I4" s="81" t="s">
        <v>6</v>
      </c>
      <c r="J4" s="8"/>
      <c r="K4" s="8"/>
      <c r="L4" s="82"/>
      <c r="M4" s="81" t="s">
        <v>7</v>
      </c>
      <c r="N4" s="8"/>
      <c r="O4" s="8"/>
      <c r="P4" s="8"/>
      <c r="Q4" s="8"/>
      <c r="R4" s="8"/>
      <c r="S4" s="8"/>
      <c r="T4" s="8"/>
      <c r="U4" s="59" t="s">
        <v>8</v>
      </c>
      <c r="V4" s="59"/>
      <c r="W4" s="59"/>
      <c r="X4" s="59"/>
      <c r="Y4" s="59"/>
      <c r="Z4" s="59"/>
      <c r="AA4" s="59"/>
      <c r="AB4" s="59"/>
      <c r="AC4" s="59"/>
      <c r="AD4" s="59"/>
      <c r="AE4" s="59"/>
      <c r="AF4" s="59"/>
      <c r="AG4" s="119"/>
      <c r="AH4" s="119"/>
      <c r="AI4" s="119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1"/>
      <c r="BL4" s="111"/>
      <c r="BM4" s="111"/>
      <c r="BN4" s="111"/>
      <c r="BO4" s="111"/>
      <c r="BP4" s="111"/>
    </row>
    <row r="5" ht="12" customHeight="1" spans="1:68">
      <c r="A5" s="9" t="s">
        <v>9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83" t="s">
        <v>10</v>
      </c>
      <c r="N5" s="84"/>
      <c r="O5" s="84"/>
      <c r="P5" s="84"/>
      <c r="Q5" s="84"/>
      <c r="R5" s="84"/>
      <c r="S5" s="84"/>
      <c r="T5" s="87"/>
      <c r="U5" s="89" t="s">
        <v>11</v>
      </c>
      <c r="V5" s="89"/>
      <c r="W5" s="89"/>
      <c r="X5" s="89"/>
      <c r="Y5" s="89"/>
      <c r="Z5" s="89"/>
      <c r="AA5" s="89"/>
      <c r="AB5" s="89" t="s">
        <v>12</v>
      </c>
      <c r="AC5" s="89"/>
      <c r="AD5" s="89"/>
      <c r="AE5" s="89"/>
      <c r="AF5" s="89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  <c r="AU5" s="111"/>
      <c r="AV5" s="111"/>
      <c r="AW5" s="111"/>
      <c r="AX5" s="111"/>
      <c r="AY5" s="111"/>
      <c r="AZ5" s="111"/>
      <c r="BA5" s="111"/>
      <c r="BB5" s="111"/>
      <c r="BC5" s="111"/>
      <c r="BD5" s="111"/>
      <c r="BE5" s="111"/>
      <c r="BF5" s="111"/>
      <c r="BG5" s="111"/>
      <c r="BH5" s="111"/>
      <c r="BI5" s="111"/>
      <c r="BJ5" s="111"/>
      <c r="BK5" s="111"/>
      <c r="BL5" s="111"/>
      <c r="BM5" s="111"/>
      <c r="BN5" s="111"/>
      <c r="BO5" s="111"/>
      <c r="BP5" s="111"/>
    </row>
    <row r="6" ht="18" customHeight="1" spans="1:68">
      <c r="A6" s="11" t="s">
        <v>13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5" t="s">
        <v>14</v>
      </c>
      <c r="N6" s="86"/>
      <c r="O6" s="86"/>
      <c r="P6" s="86"/>
      <c r="Q6" s="86"/>
      <c r="R6" s="86"/>
      <c r="S6" s="86"/>
      <c r="T6" s="88"/>
      <c r="U6" s="50" t="s">
        <v>15</v>
      </c>
      <c r="V6" s="50"/>
      <c r="W6" s="50"/>
      <c r="X6" s="50"/>
      <c r="Y6" s="50"/>
      <c r="Z6" s="50"/>
      <c r="AA6" s="50"/>
      <c r="AB6" s="50" t="s">
        <v>16</v>
      </c>
      <c r="AC6" s="50"/>
      <c r="AD6" s="50"/>
      <c r="AE6" s="50"/>
      <c r="AF6" s="50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  <c r="AU6" s="111"/>
      <c r="AV6" s="111"/>
      <c r="AW6" s="111"/>
      <c r="AX6" s="111"/>
      <c r="AY6" s="111"/>
      <c r="AZ6" s="111"/>
      <c r="BA6" s="111"/>
      <c r="BB6" s="111"/>
      <c r="BC6" s="111"/>
      <c r="BD6" s="111"/>
      <c r="BE6" s="111"/>
      <c r="BF6" s="111"/>
      <c r="BG6" s="111"/>
      <c r="BH6" s="111"/>
      <c r="BI6" s="111"/>
      <c r="BJ6" s="111"/>
      <c r="BK6" s="111"/>
      <c r="BL6" s="111"/>
      <c r="BM6" s="111"/>
      <c r="BN6" s="111"/>
      <c r="BO6" s="111"/>
      <c r="BP6" s="111"/>
    </row>
    <row r="7" ht="11" customHeight="1" spans="1:68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11"/>
      <c r="AS7" s="111"/>
      <c r="AT7" s="111"/>
      <c r="AU7" s="111"/>
      <c r="AV7" s="111"/>
      <c r="AW7" s="111"/>
      <c r="AX7" s="111"/>
      <c r="AY7" s="111"/>
      <c r="AZ7" s="111"/>
      <c r="BA7" s="111"/>
      <c r="BB7" s="111"/>
      <c r="BC7" s="111"/>
      <c r="BD7" s="111"/>
      <c r="BE7" s="111"/>
      <c r="BF7" s="111"/>
      <c r="BG7" s="111"/>
      <c r="BH7" s="111"/>
      <c r="BI7" s="111"/>
      <c r="BJ7" s="111"/>
      <c r="BK7" s="111"/>
      <c r="BL7" s="111"/>
      <c r="BM7" s="111"/>
      <c r="BN7" s="111"/>
      <c r="BO7" s="111"/>
      <c r="BP7" s="111"/>
    </row>
    <row r="8" customHeight="1" spans="1:68">
      <c r="A8" s="13" t="s">
        <v>17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</row>
    <row r="9" customHeight="1" spans="1:68">
      <c r="A9" s="14" t="s">
        <v>18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  <c r="BL9" s="111"/>
      <c r="BM9" s="111"/>
      <c r="BN9" s="111"/>
      <c r="BO9" s="111"/>
      <c r="BP9" s="111"/>
    </row>
    <row r="10" customHeight="1" spans="1:68">
      <c r="A10" s="15" t="s">
        <v>19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12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  <c r="AU10" s="111"/>
      <c r="AV10" s="111"/>
      <c r="AW10" s="111"/>
      <c r="AX10" s="111"/>
      <c r="AY10" s="111"/>
      <c r="AZ10" s="111"/>
      <c r="BA10" s="111"/>
      <c r="BB10" s="111"/>
      <c r="BC10" s="111"/>
      <c r="BD10" s="111"/>
      <c r="BE10" s="111"/>
      <c r="BF10" s="111"/>
      <c r="BG10" s="111"/>
      <c r="BH10" s="111"/>
      <c r="BI10" s="111"/>
      <c r="BJ10" s="111"/>
      <c r="BK10" s="111"/>
      <c r="BL10" s="111"/>
      <c r="BM10" s="111"/>
      <c r="BN10" s="111"/>
      <c r="BO10" s="111"/>
      <c r="BP10" s="111"/>
    </row>
    <row r="11" customHeight="1" spans="1:68">
      <c r="A11" s="15" t="s">
        <v>20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12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</row>
    <row r="12" customHeight="1" spans="1:68">
      <c r="A12" s="15" t="s">
        <v>21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12"/>
      <c r="AG12" s="111"/>
      <c r="AH12" s="111"/>
      <c r="AI12" s="111"/>
      <c r="AJ12" s="111"/>
      <c r="AK12" s="111"/>
      <c r="AL12" s="111"/>
      <c r="AM12" s="111"/>
      <c r="AN12" s="111"/>
      <c r="AO12" s="111"/>
      <c r="AP12" s="111"/>
      <c r="AQ12" s="111"/>
      <c r="AR12" s="111"/>
      <c r="AS12" s="111"/>
      <c r="AT12" s="111"/>
      <c r="AU12" s="111"/>
      <c r="AV12" s="111"/>
      <c r="AW12" s="111"/>
      <c r="AX12" s="111"/>
      <c r="AY12" s="111"/>
      <c r="AZ12" s="111"/>
      <c r="BA12" s="111"/>
      <c r="BB12" s="111"/>
      <c r="BC12" s="111"/>
      <c r="BD12" s="111"/>
      <c r="BE12" s="111"/>
      <c r="BF12" s="111"/>
      <c r="BG12" s="111"/>
      <c r="BH12" s="111"/>
      <c r="BI12" s="111"/>
      <c r="BJ12" s="111"/>
      <c r="BK12" s="111"/>
      <c r="BL12" s="111"/>
      <c r="BM12" s="111"/>
      <c r="BN12" s="111"/>
      <c r="BO12" s="111"/>
      <c r="BP12" s="111"/>
    </row>
    <row r="13" customHeight="1" spans="1:68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Q13" s="111"/>
      <c r="AR13" s="111"/>
      <c r="AS13" s="111"/>
      <c r="AT13" s="111"/>
      <c r="AU13" s="111"/>
      <c r="AV13" s="111"/>
      <c r="AW13" s="111"/>
      <c r="AX13" s="111"/>
      <c r="AY13" s="111"/>
      <c r="AZ13" s="111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 s="111"/>
      <c r="BN13" s="111"/>
      <c r="BO13" s="111"/>
      <c r="BP13" s="111"/>
    </row>
    <row r="14" customHeight="1" spans="1:68">
      <c r="A14" s="18" t="s">
        <v>22</v>
      </c>
      <c r="B14" s="19"/>
      <c r="C14" s="19"/>
      <c r="D14" s="19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111"/>
      <c r="AQ14" s="111"/>
      <c r="AR14" s="111"/>
      <c r="AS14" s="111"/>
      <c r="AT14" s="111"/>
      <c r="AU14" s="111"/>
      <c r="AV14" s="111"/>
      <c r="AW14" s="111"/>
      <c r="AX14" s="111"/>
      <c r="AY14" s="111"/>
      <c r="AZ14" s="111"/>
      <c r="BA14" s="111"/>
      <c r="BB14" s="111"/>
      <c r="BC14" s="111"/>
      <c r="BD14" s="111"/>
      <c r="BE14" s="111"/>
      <c r="BF14" s="111"/>
      <c r="BG14" s="111"/>
      <c r="BH14" s="111"/>
      <c r="BI14" s="111"/>
      <c r="BJ14" s="111"/>
      <c r="BK14" s="111"/>
      <c r="BL14" s="111"/>
      <c r="BM14" s="111"/>
      <c r="BN14" s="111"/>
      <c r="BO14" s="111"/>
      <c r="BP14" s="111"/>
    </row>
    <row r="15" customHeight="1" spans="1:68">
      <c r="A15" s="20" t="s">
        <v>23</v>
      </c>
      <c r="B15" s="21"/>
      <c r="C15" s="21"/>
      <c r="D15" s="22"/>
      <c r="E15" s="59" t="s">
        <v>24</v>
      </c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/>
      <c r="BD15" s="111"/>
      <c r="BE15" s="111"/>
      <c r="BF15" s="111"/>
      <c r="BG15" s="111"/>
      <c r="BH15" s="111"/>
      <c r="BI15" s="111"/>
      <c r="BJ15" s="111"/>
      <c r="BK15" s="111"/>
      <c r="BL15" s="111"/>
      <c r="BM15" s="111"/>
      <c r="BN15" s="111"/>
      <c r="BO15" s="111"/>
      <c r="BP15" s="111"/>
    </row>
    <row r="16" s="1" customFormat="1" ht="11" customHeight="1" spans="1:68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</row>
    <row r="17" s="1" customFormat="1" ht="12" customHeight="1" spans="1:68">
      <c r="A17" s="24" t="s">
        <v>25</v>
      </c>
      <c r="B17" s="25" t="s">
        <v>26</v>
      </c>
      <c r="C17" s="26"/>
      <c r="D17" s="26"/>
      <c r="E17" s="26"/>
      <c r="F17" s="60"/>
      <c r="G17" s="25" t="s">
        <v>27</v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60"/>
      <c r="X17" s="90" t="s">
        <v>28</v>
      </c>
      <c r="Y17" s="90"/>
      <c r="Z17" s="90"/>
      <c r="AA17" s="90"/>
      <c r="AB17" s="90"/>
      <c r="AC17" s="90"/>
      <c r="AD17" s="90"/>
      <c r="AE17" s="90"/>
      <c r="AF17" s="9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</row>
    <row r="18" s="1" customFormat="1" ht="12" customHeight="1" spans="1:68">
      <c r="A18" s="27"/>
      <c r="B18" s="28"/>
      <c r="C18" s="29"/>
      <c r="D18" s="29"/>
      <c r="E18" s="29"/>
      <c r="F18" s="61"/>
      <c r="G18" s="28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61"/>
      <c r="X18" s="90" t="s">
        <v>29</v>
      </c>
      <c r="Y18" s="90"/>
      <c r="Z18" s="90"/>
      <c r="AA18" s="90"/>
      <c r="AB18" s="90" t="s">
        <v>30</v>
      </c>
      <c r="AC18" s="90"/>
      <c r="AD18" s="90"/>
      <c r="AE18" s="90"/>
      <c r="AF18" s="9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20"/>
      <c r="BJ18" s="120"/>
      <c r="BK18" s="120"/>
      <c r="BL18" s="120"/>
      <c r="BM18" s="120"/>
      <c r="BN18" s="120"/>
      <c r="BO18" s="120"/>
      <c r="BP18" s="120"/>
    </row>
    <row r="19" s="1" customFormat="1" ht="18" customHeight="1" spans="1:69">
      <c r="A19" s="30">
        <v>1</v>
      </c>
      <c r="B19" s="31">
        <v>43556</v>
      </c>
      <c r="C19" s="31"/>
      <c r="D19" s="31"/>
      <c r="E19" s="31"/>
      <c r="F19" s="31"/>
      <c r="G19" s="62" t="s">
        <v>31</v>
      </c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91" t="s">
        <v>32</v>
      </c>
      <c r="Y19" s="91" t="s">
        <v>33</v>
      </c>
      <c r="Z19" s="91" t="s">
        <v>34</v>
      </c>
      <c r="AA19" s="91" t="s">
        <v>35</v>
      </c>
      <c r="AB19" s="91" t="s">
        <v>36</v>
      </c>
      <c r="AC19" s="91" t="s">
        <v>37</v>
      </c>
      <c r="AD19" s="91" t="s">
        <v>38</v>
      </c>
      <c r="AE19" s="91" t="s">
        <v>39</v>
      </c>
      <c r="AF19" s="91" t="s">
        <v>40</v>
      </c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20"/>
      <c r="BE19" s="120"/>
      <c r="BF19" s="120"/>
      <c r="BG19" s="120"/>
      <c r="BH19" s="120"/>
      <c r="BI19" s="120"/>
      <c r="BJ19" s="120"/>
      <c r="BK19" s="120"/>
      <c r="BL19" s="120"/>
      <c r="BM19" s="120"/>
      <c r="BN19" s="120"/>
      <c r="BO19" s="120"/>
      <c r="BP19" s="120"/>
      <c r="BQ19" s="120"/>
    </row>
    <row r="20" s="1" customFormat="1" ht="18" customHeight="1" spans="1:69">
      <c r="A20" s="32"/>
      <c r="B20" s="33" t="s">
        <v>41</v>
      </c>
      <c r="C20" s="34"/>
      <c r="D20" s="34"/>
      <c r="E20" s="34"/>
      <c r="F20" s="3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92"/>
      <c r="Y20" s="92"/>
      <c r="Z20" s="92"/>
      <c r="AA20" s="92"/>
      <c r="AB20" s="92"/>
      <c r="AC20" s="92"/>
      <c r="AD20" s="92"/>
      <c r="AE20" s="92"/>
      <c r="AF20" s="92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/>
      <c r="BH20" s="120"/>
      <c r="BI20" s="120"/>
      <c r="BJ20" s="120"/>
      <c r="BK20" s="120"/>
      <c r="BL20" s="120"/>
      <c r="BM20" s="120"/>
      <c r="BN20" s="120"/>
      <c r="BO20" s="120"/>
      <c r="BP20" s="120"/>
      <c r="BQ20" s="120"/>
    </row>
    <row r="21" s="1" customFormat="1" ht="23" customHeight="1" spans="1:69">
      <c r="A21" s="32"/>
      <c r="B21" s="31">
        <v>43646</v>
      </c>
      <c r="C21" s="31"/>
      <c r="D21" s="31"/>
      <c r="E21" s="31"/>
      <c r="F21" s="31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93"/>
      <c r="Y21" s="93"/>
      <c r="Z21" s="93"/>
      <c r="AA21" s="93"/>
      <c r="AB21" s="93"/>
      <c r="AC21" s="93"/>
      <c r="AD21" s="93"/>
      <c r="AE21" s="93"/>
      <c r="AF21" s="92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120"/>
      <c r="BG21" s="120"/>
      <c r="BH21" s="120"/>
      <c r="BI21" s="120"/>
      <c r="BJ21" s="120"/>
      <c r="BK21" s="120"/>
      <c r="BL21" s="120"/>
      <c r="BM21" s="120"/>
      <c r="BN21" s="120"/>
      <c r="BO21" s="120"/>
      <c r="BP21" s="120"/>
      <c r="BQ21" s="120"/>
    </row>
    <row r="22" s="1" customFormat="1" ht="23" customHeight="1" spans="1:68">
      <c r="A22" s="32"/>
      <c r="B22" s="35" t="str">
        <f>"("&amp;ROUND(DAYS360(B19,B21)/30,0)+0&amp;"ヶ月)"</f>
        <v>(3ヶ月)</v>
      </c>
      <c r="C22" s="36"/>
      <c r="D22" s="36"/>
      <c r="E22" s="36"/>
      <c r="F22" s="65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94"/>
      <c r="Y22" s="94"/>
      <c r="Z22" s="102" t="s">
        <v>42</v>
      </c>
      <c r="AA22" s="102" t="s">
        <v>42</v>
      </c>
      <c r="AB22" s="102" t="s">
        <v>42</v>
      </c>
      <c r="AC22" s="113" t="s">
        <v>42</v>
      </c>
      <c r="AD22" s="113" t="s">
        <v>42</v>
      </c>
      <c r="AE22" s="113" t="s">
        <v>42</v>
      </c>
      <c r="AF22" s="114"/>
      <c r="AG22" s="120"/>
      <c r="AH22" s="120"/>
      <c r="AI22" s="120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120"/>
      <c r="BG22" s="120"/>
      <c r="BH22" s="120"/>
      <c r="BI22" s="120"/>
      <c r="BJ22" s="120"/>
      <c r="BK22" s="120"/>
      <c r="BL22" s="120"/>
      <c r="BM22" s="120"/>
      <c r="BN22" s="120"/>
      <c r="BO22" s="120"/>
      <c r="BP22" s="120"/>
    </row>
    <row r="23" s="1" customFormat="1" ht="171" customHeight="1" spans="1:68">
      <c r="A23" s="32"/>
      <c r="B23" s="35"/>
      <c r="C23" s="36"/>
      <c r="D23" s="36"/>
      <c r="E23" s="36"/>
      <c r="F23" s="65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95" t="s">
        <v>43</v>
      </c>
      <c r="Y23" s="103"/>
      <c r="Z23" s="103"/>
      <c r="AA23" s="104"/>
      <c r="AB23" s="95" t="s">
        <v>44</v>
      </c>
      <c r="AC23" s="103"/>
      <c r="AD23" s="103"/>
      <c r="AE23" s="103"/>
      <c r="AF23" s="104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20"/>
      <c r="BJ23" s="120"/>
      <c r="BK23" s="120"/>
      <c r="BL23" s="120"/>
      <c r="BM23" s="120"/>
      <c r="BN23" s="120"/>
      <c r="BO23" s="120"/>
      <c r="BP23" s="120"/>
    </row>
    <row r="24" s="1" customFormat="1" ht="6" customHeight="1" spans="1:68">
      <c r="A24" s="32"/>
      <c r="B24" s="37"/>
      <c r="C24" s="38"/>
      <c r="D24" s="38"/>
      <c r="E24" s="38"/>
      <c r="F24" s="66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96"/>
      <c r="Y24" s="105"/>
      <c r="Z24" s="105"/>
      <c r="AA24" s="106"/>
      <c r="AB24" s="96"/>
      <c r="AC24" s="105"/>
      <c r="AD24" s="105"/>
      <c r="AE24" s="105"/>
      <c r="AF24" s="106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20"/>
      <c r="BE24" s="120"/>
      <c r="BF24" s="120"/>
      <c r="BG24" s="120"/>
      <c r="BH24" s="120"/>
      <c r="BI24" s="120"/>
      <c r="BJ24" s="120"/>
      <c r="BK24" s="120"/>
      <c r="BL24" s="120"/>
      <c r="BM24" s="120"/>
      <c r="BN24" s="120"/>
      <c r="BO24" s="120"/>
      <c r="BP24" s="120"/>
    </row>
    <row r="25" s="1" customFormat="1" ht="18" customHeight="1" spans="1:68">
      <c r="A25" s="32"/>
      <c r="B25" s="39" t="s">
        <v>45</v>
      </c>
      <c r="C25" s="40"/>
      <c r="D25" s="40"/>
      <c r="E25" s="40"/>
      <c r="F25" s="67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96"/>
      <c r="Y25" s="105"/>
      <c r="Z25" s="105"/>
      <c r="AA25" s="106"/>
      <c r="AB25" s="96"/>
      <c r="AC25" s="105"/>
      <c r="AD25" s="105"/>
      <c r="AE25" s="105"/>
      <c r="AF25" s="106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20"/>
      <c r="BJ25" s="120"/>
      <c r="BK25" s="120"/>
      <c r="BL25" s="120"/>
      <c r="BM25" s="120"/>
      <c r="BN25" s="120"/>
      <c r="BO25" s="120"/>
      <c r="BP25" s="120"/>
    </row>
    <row r="26" s="1" customFormat="1" ht="32" customHeight="1" spans="1:68">
      <c r="A26" s="32"/>
      <c r="B26" s="41" t="s">
        <v>46</v>
      </c>
      <c r="C26" s="41"/>
      <c r="D26" s="41"/>
      <c r="E26" s="41"/>
      <c r="F26" s="41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97"/>
      <c r="Y26" s="107"/>
      <c r="Z26" s="107"/>
      <c r="AA26" s="108"/>
      <c r="AB26" s="97"/>
      <c r="AC26" s="107"/>
      <c r="AD26" s="107"/>
      <c r="AE26" s="107"/>
      <c r="AF26" s="108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20"/>
      <c r="BJ26" s="120"/>
      <c r="BK26" s="120"/>
      <c r="BL26" s="120"/>
      <c r="BM26" s="120"/>
      <c r="BN26" s="120"/>
      <c r="BO26" s="120"/>
      <c r="BP26" s="120"/>
    </row>
    <row r="27" ht="18" customHeight="1" spans="1:32">
      <c r="A27" s="42">
        <f>A19+1</f>
        <v>2</v>
      </c>
      <c r="B27" s="31">
        <v>43497</v>
      </c>
      <c r="C27" s="31"/>
      <c r="D27" s="31"/>
      <c r="E27" s="31"/>
      <c r="F27" s="31"/>
      <c r="G27" s="62" t="s">
        <v>47</v>
      </c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91" t="s">
        <v>32</v>
      </c>
      <c r="Y27" s="91" t="s">
        <v>33</v>
      </c>
      <c r="Z27" s="91" t="s">
        <v>34</v>
      </c>
      <c r="AA27" s="91" t="s">
        <v>35</v>
      </c>
      <c r="AB27" s="91" t="s">
        <v>36</v>
      </c>
      <c r="AC27" s="91" t="s">
        <v>37</v>
      </c>
      <c r="AD27" s="91" t="s">
        <v>38</v>
      </c>
      <c r="AE27" s="91" t="s">
        <v>39</v>
      </c>
      <c r="AF27" s="91" t="s">
        <v>40</v>
      </c>
    </row>
    <row r="28" ht="18" customHeight="1" spans="1:32">
      <c r="A28" s="43"/>
      <c r="B28" s="44" t="s">
        <v>41</v>
      </c>
      <c r="C28" s="44"/>
      <c r="D28" s="44"/>
      <c r="E28" s="44"/>
      <c r="F28" s="4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92"/>
      <c r="Y28" s="92"/>
      <c r="Z28" s="92"/>
      <c r="AA28" s="92"/>
      <c r="AB28" s="92"/>
      <c r="AC28" s="92"/>
      <c r="AD28" s="92"/>
      <c r="AE28" s="92"/>
      <c r="AF28" s="92"/>
    </row>
    <row r="29" ht="18" customHeight="1" spans="1:32">
      <c r="A29" s="43"/>
      <c r="B29" s="31">
        <v>43554</v>
      </c>
      <c r="C29" s="31"/>
      <c r="D29" s="31"/>
      <c r="E29" s="31"/>
      <c r="F29" s="31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93"/>
      <c r="Y29" s="93"/>
      <c r="Z29" s="93"/>
      <c r="AA29" s="93"/>
      <c r="AB29" s="93"/>
      <c r="AC29" s="93"/>
      <c r="AD29" s="93"/>
      <c r="AE29" s="93"/>
      <c r="AF29" s="92"/>
    </row>
    <row r="30" ht="18" customHeight="1" spans="1:32">
      <c r="A30" s="43"/>
      <c r="B30" s="45" t="str">
        <f>"("&amp;ROUND(DAYS360(B27,B29)/30,0)+0&amp;"ヶ月)"</f>
        <v>(2ヶ月)</v>
      </c>
      <c r="C30" s="46"/>
      <c r="D30" s="46"/>
      <c r="E30" s="46"/>
      <c r="F30" s="68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94"/>
      <c r="Y30" s="94"/>
      <c r="Z30" s="102" t="s">
        <v>42</v>
      </c>
      <c r="AA30" s="102" t="s">
        <v>42</v>
      </c>
      <c r="AB30" s="109"/>
      <c r="AC30" s="113" t="s">
        <v>42</v>
      </c>
      <c r="AD30" s="113" t="s">
        <v>42</v>
      </c>
      <c r="AE30" s="113" t="s">
        <v>42</v>
      </c>
      <c r="AF30" s="115"/>
    </row>
    <row r="31" ht="16" customHeight="1" spans="1:32">
      <c r="A31" s="43"/>
      <c r="B31" s="45"/>
      <c r="C31" s="46"/>
      <c r="D31" s="46"/>
      <c r="E31" s="46"/>
      <c r="F31" s="68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95" t="s">
        <v>48</v>
      </c>
      <c r="Y31" s="103"/>
      <c r="Z31" s="103"/>
      <c r="AA31" s="104"/>
      <c r="AB31" s="95" t="s">
        <v>49</v>
      </c>
      <c r="AC31" s="103"/>
      <c r="AD31" s="103"/>
      <c r="AE31" s="103"/>
      <c r="AF31" s="104"/>
    </row>
    <row r="32" ht="133" customHeight="1" spans="1:32">
      <c r="A32" s="43"/>
      <c r="B32" s="45"/>
      <c r="C32" s="46"/>
      <c r="D32" s="46"/>
      <c r="E32" s="46"/>
      <c r="F32" s="68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96"/>
      <c r="Y32" s="105"/>
      <c r="Z32" s="105"/>
      <c r="AA32" s="106"/>
      <c r="AB32" s="96"/>
      <c r="AC32" s="105"/>
      <c r="AD32" s="105"/>
      <c r="AE32" s="105"/>
      <c r="AF32" s="106"/>
    </row>
    <row r="33" ht="16" customHeight="1" spans="1:32">
      <c r="A33" s="43"/>
      <c r="B33" s="47" t="s">
        <v>45</v>
      </c>
      <c r="C33" s="48"/>
      <c r="D33" s="48"/>
      <c r="E33" s="48"/>
      <c r="F33" s="69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96"/>
      <c r="Y33" s="105"/>
      <c r="Z33" s="105"/>
      <c r="AA33" s="106"/>
      <c r="AB33" s="96"/>
      <c r="AC33" s="105"/>
      <c r="AD33" s="105"/>
      <c r="AE33" s="105"/>
      <c r="AF33" s="106"/>
    </row>
    <row r="34" spans="1:32">
      <c r="A34" s="49"/>
      <c r="B34" s="50" t="s">
        <v>46</v>
      </c>
      <c r="C34" s="50"/>
      <c r="D34" s="50"/>
      <c r="E34" s="50"/>
      <c r="F34" s="50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97"/>
      <c r="Y34" s="107"/>
      <c r="Z34" s="107"/>
      <c r="AA34" s="108"/>
      <c r="AB34" s="97"/>
      <c r="AC34" s="107"/>
      <c r="AD34" s="107"/>
      <c r="AE34" s="107"/>
      <c r="AF34" s="108"/>
    </row>
    <row r="35" ht="22" customHeight="1" spans="1:32">
      <c r="A35" s="42">
        <f>A27+1</f>
        <v>3</v>
      </c>
      <c r="B35" s="31">
        <v>43344</v>
      </c>
      <c r="C35" s="31"/>
      <c r="D35" s="31"/>
      <c r="E35" s="31"/>
      <c r="F35" s="31"/>
      <c r="G35" s="70" t="s">
        <v>50</v>
      </c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98"/>
      <c r="X35" s="91" t="s">
        <v>32</v>
      </c>
      <c r="Y35" s="91" t="s">
        <v>33</v>
      </c>
      <c r="Z35" s="91" t="s">
        <v>34</v>
      </c>
      <c r="AA35" s="91" t="s">
        <v>35</v>
      </c>
      <c r="AB35" s="91" t="s">
        <v>36</v>
      </c>
      <c r="AC35" s="91" t="s">
        <v>37</v>
      </c>
      <c r="AD35" s="91" t="s">
        <v>38</v>
      </c>
      <c r="AE35" s="91" t="s">
        <v>39</v>
      </c>
      <c r="AF35" s="116" t="s">
        <v>40</v>
      </c>
    </row>
    <row r="36" ht="21" customHeight="1" spans="1:32">
      <c r="A36" s="51"/>
      <c r="B36" s="52" t="s">
        <v>41</v>
      </c>
      <c r="C36" s="53"/>
      <c r="D36" s="53"/>
      <c r="E36" s="53"/>
      <c r="F36" s="72"/>
      <c r="G36" s="73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99"/>
      <c r="X36" s="92"/>
      <c r="Y36" s="92"/>
      <c r="Z36" s="92"/>
      <c r="AA36" s="92"/>
      <c r="AB36" s="92"/>
      <c r="AC36" s="92"/>
      <c r="AD36" s="92"/>
      <c r="AE36" s="92"/>
      <c r="AF36" s="116"/>
    </row>
    <row r="37" ht="26" customHeight="1" spans="1:32">
      <c r="A37" s="51"/>
      <c r="B37" s="31">
        <v>43466</v>
      </c>
      <c r="C37" s="31"/>
      <c r="D37" s="31"/>
      <c r="E37" s="31"/>
      <c r="F37" s="31"/>
      <c r="G37" s="73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99"/>
      <c r="X37" s="93"/>
      <c r="Y37" s="93"/>
      <c r="Z37" s="93"/>
      <c r="AA37" s="93"/>
      <c r="AB37" s="93"/>
      <c r="AC37" s="93"/>
      <c r="AD37" s="93"/>
      <c r="AE37" s="93"/>
      <c r="AF37" s="116"/>
    </row>
    <row r="38" ht="21" customHeight="1" spans="1:32">
      <c r="A38" s="51"/>
      <c r="B38" s="45" t="str">
        <f>"("&amp;ROUND(DAYS360(B35,B37)/30,0)+0&amp;"ヶ月)"</f>
        <v>(4ヶ月)</v>
      </c>
      <c r="C38" s="46"/>
      <c r="D38" s="46"/>
      <c r="E38" s="46"/>
      <c r="F38" s="68"/>
      <c r="G38" s="73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99"/>
      <c r="X38" s="94"/>
      <c r="Y38" s="94"/>
      <c r="Z38" s="102" t="s">
        <v>42</v>
      </c>
      <c r="AA38" s="102" t="s">
        <v>42</v>
      </c>
      <c r="AB38" s="109"/>
      <c r="AC38" s="113" t="s">
        <v>42</v>
      </c>
      <c r="AD38" s="113" t="s">
        <v>42</v>
      </c>
      <c r="AE38" s="113" t="s">
        <v>42</v>
      </c>
      <c r="AF38" s="115"/>
    </row>
    <row r="39" ht="38" customHeight="1" spans="1:32">
      <c r="A39" s="51"/>
      <c r="B39" s="45"/>
      <c r="C39" s="46"/>
      <c r="D39" s="46"/>
      <c r="E39" s="46"/>
      <c r="F39" s="68"/>
      <c r="G39" s="73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99"/>
      <c r="X39" s="95" t="s">
        <v>51</v>
      </c>
      <c r="Y39" s="103"/>
      <c r="Z39" s="103"/>
      <c r="AA39" s="104"/>
      <c r="AB39" s="95" t="s">
        <v>49</v>
      </c>
      <c r="AC39" s="103"/>
      <c r="AD39" s="103"/>
      <c r="AE39" s="103"/>
      <c r="AF39" s="104"/>
    </row>
    <row r="40" ht="105" customHeight="1" spans="1:32">
      <c r="A40" s="51"/>
      <c r="B40" s="45"/>
      <c r="C40" s="46"/>
      <c r="D40" s="46"/>
      <c r="E40" s="46"/>
      <c r="F40" s="68"/>
      <c r="G40" s="73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99"/>
      <c r="X40" s="96"/>
      <c r="Y40" s="105"/>
      <c r="Z40" s="105"/>
      <c r="AA40" s="106"/>
      <c r="AB40" s="96"/>
      <c r="AC40" s="105"/>
      <c r="AD40" s="105"/>
      <c r="AE40" s="105"/>
      <c r="AF40" s="106"/>
    </row>
    <row r="41" ht="18" customHeight="1" spans="1:32">
      <c r="A41" s="51"/>
      <c r="B41" s="47" t="s">
        <v>45</v>
      </c>
      <c r="C41" s="48"/>
      <c r="D41" s="48"/>
      <c r="E41" s="48"/>
      <c r="F41" s="69"/>
      <c r="G41" s="73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99"/>
      <c r="X41" s="96"/>
      <c r="Y41" s="105"/>
      <c r="Z41" s="105"/>
      <c r="AA41" s="106"/>
      <c r="AB41" s="96"/>
      <c r="AC41" s="105"/>
      <c r="AD41" s="105"/>
      <c r="AE41" s="105"/>
      <c r="AF41" s="106"/>
    </row>
    <row r="42" ht="18" customHeight="1" spans="1:32">
      <c r="A42" s="54"/>
      <c r="B42" s="47" t="s">
        <v>46</v>
      </c>
      <c r="C42" s="48"/>
      <c r="D42" s="48"/>
      <c r="E42" s="48"/>
      <c r="F42" s="69"/>
      <c r="G42" s="7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100"/>
      <c r="X42" s="97"/>
      <c r="Y42" s="107"/>
      <c r="Z42" s="107"/>
      <c r="AA42" s="108"/>
      <c r="AB42" s="97"/>
      <c r="AC42" s="107"/>
      <c r="AD42" s="107"/>
      <c r="AE42" s="107"/>
      <c r="AF42" s="108"/>
    </row>
    <row r="43" ht="24" customHeight="1" spans="1:32">
      <c r="A43" s="42">
        <f>A35+1</f>
        <v>4</v>
      </c>
      <c r="B43" s="31">
        <v>43252</v>
      </c>
      <c r="C43" s="31"/>
      <c r="D43" s="31"/>
      <c r="E43" s="31"/>
      <c r="F43" s="31"/>
      <c r="G43" s="70" t="s">
        <v>52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98"/>
      <c r="X43" s="91" t="s">
        <v>32</v>
      </c>
      <c r="Y43" s="91" t="s">
        <v>33</v>
      </c>
      <c r="Z43" s="91" t="s">
        <v>34</v>
      </c>
      <c r="AA43" s="91" t="s">
        <v>35</v>
      </c>
      <c r="AB43" s="91" t="s">
        <v>36</v>
      </c>
      <c r="AC43" s="91" t="s">
        <v>37</v>
      </c>
      <c r="AD43" s="91" t="s">
        <v>38</v>
      </c>
      <c r="AE43" s="91" t="s">
        <v>39</v>
      </c>
      <c r="AF43" s="116" t="s">
        <v>40</v>
      </c>
    </row>
    <row r="44" ht="23" customHeight="1" spans="1:32">
      <c r="A44" s="51"/>
      <c r="B44" s="52" t="s">
        <v>41</v>
      </c>
      <c r="C44" s="53"/>
      <c r="D44" s="53"/>
      <c r="E44" s="53"/>
      <c r="F44" s="72"/>
      <c r="G44" s="73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99"/>
      <c r="X44" s="92"/>
      <c r="Y44" s="92"/>
      <c r="Z44" s="92"/>
      <c r="AA44" s="92"/>
      <c r="AB44" s="92"/>
      <c r="AC44" s="92"/>
      <c r="AD44" s="92"/>
      <c r="AE44" s="92"/>
      <c r="AF44" s="116"/>
    </row>
    <row r="45" ht="25" customHeight="1" spans="1:32">
      <c r="A45" s="51"/>
      <c r="B45" s="31">
        <v>43344</v>
      </c>
      <c r="C45" s="31"/>
      <c r="D45" s="31"/>
      <c r="E45" s="31"/>
      <c r="F45" s="31"/>
      <c r="G45" s="73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99"/>
      <c r="X45" s="93"/>
      <c r="Y45" s="93"/>
      <c r="Z45" s="93"/>
      <c r="AA45" s="93"/>
      <c r="AB45" s="93"/>
      <c r="AC45" s="93"/>
      <c r="AD45" s="93"/>
      <c r="AE45" s="93"/>
      <c r="AF45" s="116"/>
    </row>
    <row r="46" ht="18" customHeight="1" spans="1:32">
      <c r="A46" s="51"/>
      <c r="B46" s="45" t="str">
        <f>"("&amp;ROUND(DAYS360(B43,B45)/30,0)+0&amp;"ヶ月)"</f>
        <v>(3ヶ月)</v>
      </c>
      <c r="C46" s="46"/>
      <c r="D46" s="46"/>
      <c r="E46" s="46"/>
      <c r="F46" s="68"/>
      <c r="G46" s="73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99"/>
      <c r="X46" s="94"/>
      <c r="Y46" s="94"/>
      <c r="Z46" s="102" t="s">
        <v>42</v>
      </c>
      <c r="AA46" s="102" t="s">
        <v>42</v>
      </c>
      <c r="AB46" s="109"/>
      <c r="AC46" s="113" t="s">
        <v>42</v>
      </c>
      <c r="AD46" s="113" t="s">
        <v>42</v>
      </c>
      <c r="AE46" s="113" t="s">
        <v>42</v>
      </c>
      <c r="AF46" s="115"/>
    </row>
    <row r="47" ht="16" customHeight="1" spans="1:32">
      <c r="A47" s="51"/>
      <c r="B47" s="45"/>
      <c r="C47" s="46"/>
      <c r="D47" s="46"/>
      <c r="E47" s="46"/>
      <c r="F47" s="68"/>
      <c r="G47" s="73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99"/>
      <c r="X47" s="95" t="s">
        <v>51</v>
      </c>
      <c r="Y47" s="103"/>
      <c r="Z47" s="103"/>
      <c r="AA47" s="104"/>
      <c r="AB47" s="110" t="s">
        <v>49</v>
      </c>
      <c r="AC47" s="110"/>
      <c r="AD47" s="110"/>
      <c r="AE47" s="110"/>
      <c r="AF47" s="110"/>
    </row>
    <row r="48" ht="122" customHeight="1" spans="1:32">
      <c r="A48" s="51"/>
      <c r="B48" s="45"/>
      <c r="C48" s="46"/>
      <c r="D48" s="46"/>
      <c r="E48" s="46"/>
      <c r="F48" s="68"/>
      <c r="G48" s="73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99"/>
      <c r="X48" s="96"/>
      <c r="Y48" s="105"/>
      <c r="Z48" s="105"/>
      <c r="AA48" s="106"/>
      <c r="AB48" s="110"/>
      <c r="AC48" s="110"/>
      <c r="AD48" s="110"/>
      <c r="AE48" s="110"/>
      <c r="AF48" s="110"/>
    </row>
    <row r="49" ht="18" customHeight="1" spans="1:32">
      <c r="A49" s="51"/>
      <c r="B49" s="55" t="s">
        <v>45</v>
      </c>
      <c r="C49" s="56"/>
      <c r="D49" s="56"/>
      <c r="E49" s="56"/>
      <c r="F49" s="77"/>
      <c r="G49" s="73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99"/>
      <c r="X49" s="96"/>
      <c r="Y49" s="105"/>
      <c r="Z49" s="105"/>
      <c r="AA49" s="106"/>
      <c r="AB49" s="110"/>
      <c r="AC49" s="110"/>
      <c r="AD49" s="110"/>
      <c r="AE49" s="110"/>
      <c r="AF49" s="110"/>
    </row>
    <row r="50" ht="18" customHeight="1" spans="1:32">
      <c r="A50" s="54"/>
      <c r="B50" s="47" t="s">
        <v>46</v>
      </c>
      <c r="C50" s="48"/>
      <c r="D50" s="48"/>
      <c r="E50" s="48"/>
      <c r="F50" s="69"/>
      <c r="G50" s="75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100"/>
      <c r="X50" s="97"/>
      <c r="Y50" s="107"/>
      <c r="Z50" s="107"/>
      <c r="AA50" s="108"/>
      <c r="AB50" s="110"/>
      <c r="AC50" s="110"/>
      <c r="AD50" s="110"/>
      <c r="AE50" s="110"/>
      <c r="AF50" s="110"/>
    </row>
    <row r="51" ht="23" customHeight="1" spans="1:32">
      <c r="A51" s="42">
        <f t="shared" ref="A51" si="0">A43+1</f>
        <v>5</v>
      </c>
      <c r="B51" s="31">
        <v>43040</v>
      </c>
      <c r="C51" s="31"/>
      <c r="D51" s="31"/>
      <c r="E51" s="31"/>
      <c r="F51" s="31"/>
      <c r="G51" s="70" t="s">
        <v>53</v>
      </c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98"/>
      <c r="X51" s="91" t="s">
        <v>32</v>
      </c>
      <c r="Y51" s="91" t="s">
        <v>33</v>
      </c>
      <c r="Z51" s="91" t="s">
        <v>34</v>
      </c>
      <c r="AA51" s="91" t="s">
        <v>35</v>
      </c>
      <c r="AB51" s="92" t="s">
        <v>36</v>
      </c>
      <c r="AC51" s="91" t="s">
        <v>37</v>
      </c>
      <c r="AD51" s="91" t="s">
        <v>38</v>
      </c>
      <c r="AE51" s="91" t="s">
        <v>39</v>
      </c>
      <c r="AF51" s="116" t="s">
        <v>40</v>
      </c>
    </row>
    <row r="52" ht="25" customHeight="1" spans="1:32">
      <c r="A52" s="51"/>
      <c r="B52" s="52" t="s">
        <v>41</v>
      </c>
      <c r="C52" s="53"/>
      <c r="D52" s="53"/>
      <c r="E52" s="53"/>
      <c r="F52" s="72"/>
      <c r="G52" s="73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99"/>
      <c r="X52" s="92"/>
      <c r="Y52" s="92"/>
      <c r="Z52" s="92"/>
      <c r="AA52" s="92"/>
      <c r="AB52" s="92"/>
      <c r="AC52" s="92"/>
      <c r="AD52" s="92"/>
      <c r="AE52" s="92"/>
      <c r="AF52" s="116"/>
    </row>
    <row r="53" ht="27" customHeight="1" spans="1:32">
      <c r="A53" s="51"/>
      <c r="B53" s="31">
        <v>43132</v>
      </c>
      <c r="C53" s="31"/>
      <c r="D53" s="31"/>
      <c r="E53" s="31"/>
      <c r="F53" s="31"/>
      <c r="G53" s="73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99"/>
      <c r="X53" s="93"/>
      <c r="Y53" s="93"/>
      <c r="Z53" s="93"/>
      <c r="AA53" s="93"/>
      <c r="AB53" s="93"/>
      <c r="AC53" s="93"/>
      <c r="AD53" s="93"/>
      <c r="AE53" s="93"/>
      <c r="AF53" s="116"/>
    </row>
    <row r="54" ht="22" customHeight="1" spans="1:32">
      <c r="A54" s="51"/>
      <c r="B54" s="57" t="str">
        <f>"("&amp;ROUND(DAYS360(B51,B53)/30,0)+0&amp;"ヶ月)"</f>
        <v>(3ヶ月)</v>
      </c>
      <c r="C54" s="4"/>
      <c r="D54" s="4"/>
      <c r="E54" s="4"/>
      <c r="F54" s="78"/>
      <c r="G54" s="73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99"/>
      <c r="X54" s="94"/>
      <c r="Y54" s="94"/>
      <c r="Z54" s="102" t="s">
        <v>42</v>
      </c>
      <c r="AA54" s="102" t="s">
        <v>42</v>
      </c>
      <c r="AB54" s="102" t="s">
        <v>42</v>
      </c>
      <c r="AC54" s="113" t="s">
        <v>42</v>
      </c>
      <c r="AD54" s="113" t="s">
        <v>42</v>
      </c>
      <c r="AE54" s="113" t="s">
        <v>42</v>
      </c>
      <c r="AF54" s="115"/>
    </row>
    <row r="55" ht="15" customHeight="1" spans="1:32">
      <c r="A55" s="51"/>
      <c r="B55" s="57"/>
      <c r="C55" s="4"/>
      <c r="D55" s="4"/>
      <c r="E55" s="4"/>
      <c r="F55" s="78"/>
      <c r="G55" s="73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99"/>
      <c r="X55" s="95" t="s">
        <v>54</v>
      </c>
      <c r="Y55" s="103"/>
      <c r="Z55" s="103"/>
      <c r="AA55" s="104"/>
      <c r="AB55" s="95" t="s">
        <v>55</v>
      </c>
      <c r="AC55" s="103"/>
      <c r="AD55" s="103"/>
      <c r="AE55" s="103"/>
      <c r="AF55" s="104"/>
    </row>
    <row r="56" ht="130" customHeight="1" spans="1:32">
      <c r="A56" s="51"/>
      <c r="B56" s="57"/>
      <c r="C56" s="4"/>
      <c r="D56" s="4"/>
      <c r="E56" s="4"/>
      <c r="F56" s="78"/>
      <c r="G56" s="73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99"/>
      <c r="X56" s="96"/>
      <c r="Y56" s="105"/>
      <c r="Z56" s="105"/>
      <c r="AA56" s="106"/>
      <c r="AB56" s="96"/>
      <c r="AC56" s="105"/>
      <c r="AD56" s="105"/>
      <c r="AE56" s="105"/>
      <c r="AF56" s="106"/>
    </row>
    <row r="57" ht="18" customHeight="1" spans="1:32">
      <c r="A57" s="51"/>
      <c r="B57" s="47" t="s">
        <v>45</v>
      </c>
      <c r="C57" s="48"/>
      <c r="D57" s="48"/>
      <c r="E57" s="48"/>
      <c r="F57" s="69"/>
      <c r="G57" s="73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99"/>
      <c r="X57" s="96"/>
      <c r="Y57" s="105"/>
      <c r="Z57" s="105"/>
      <c r="AA57" s="106"/>
      <c r="AB57" s="96"/>
      <c r="AC57" s="105"/>
      <c r="AD57" s="105"/>
      <c r="AE57" s="105"/>
      <c r="AF57" s="106"/>
    </row>
    <row r="58" ht="18" customHeight="1" spans="1:32">
      <c r="A58" s="54"/>
      <c r="B58" s="50" t="s">
        <v>46</v>
      </c>
      <c r="C58" s="50"/>
      <c r="D58" s="50"/>
      <c r="E58" s="50"/>
      <c r="F58" s="50"/>
      <c r="G58" s="75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100"/>
      <c r="X58" s="97"/>
      <c r="Y58" s="107"/>
      <c r="Z58" s="107"/>
      <c r="AA58" s="108"/>
      <c r="AB58" s="97"/>
      <c r="AC58" s="107"/>
      <c r="AD58" s="107"/>
      <c r="AE58" s="107"/>
      <c r="AF58" s="108"/>
    </row>
    <row r="59" s="2" customFormat="1" ht="23" customHeight="1" spans="1:32">
      <c r="A59" s="42">
        <f>A51+1</f>
        <v>6</v>
      </c>
      <c r="B59" s="31">
        <v>42675</v>
      </c>
      <c r="C59" s="31"/>
      <c r="D59" s="31"/>
      <c r="E59" s="31"/>
      <c r="F59" s="31"/>
      <c r="G59" s="70" t="s">
        <v>56</v>
      </c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98"/>
      <c r="X59" s="91" t="s">
        <v>32</v>
      </c>
      <c r="Y59" s="91" t="s">
        <v>33</v>
      </c>
      <c r="Z59" s="91" t="s">
        <v>34</v>
      </c>
      <c r="AA59" s="91" t="s">
        <v>35</v>
      </c>
      <c r="AB59" s="92" t="s">
        <v>36</v>
      </c>
      <c r="AC59" s="91" t="s">
        <v>37</v>
      </c>
      <c r="AD59" s="91" t="s">
        <v>38</v>
      </c>
      <c r="AE59" s="91" t="s">
        <v>39</v>
      </c>
      <c r="AF59" s="116" t="s">
        <v>40</v>
      </c>
    </row>
    <row r="60" s="2" customFormat="1" ht="25" customHeight="1" spans="1:32">
      <c r="A60" s="51"/>
      <c r="B60" s="52" t="s">
        <v>41</v>
      </c>
      <c r="C60" s="53"/>
      <c r="D60" s="53"/>
      <c r="E60" s="53"/>
      <c r="F60" s="72"/>
      <c r="G60" s="73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99"/>
      <c r="X60" s="92"/>
      <c r="Y60" s="92"/>
      <c r="Z60" s="92"/>
      <c r="AA60" s="92"/>
      <c r="AB60" s="92"/>
      <c r="AC60" s="92"/>
      <c r="AD60" s="92"/>
      <c r="AE60" s="92"/>
      <c r="AF60" s="116"/>
    </row>
    <row r="61" s="2" customFormat="1" ht="27" customHeight="1" spans="1:32">
      <c r="A61" s="51"/>
      <c r="B61" s="31">
        <v>43009</v>
      </c>
      <c r="C61" s="31"/>
      <c r="D61" s="31"/>
      <c r="E61" s="31"/>
      <c r="F61" s="31"/>
      <c r="G61" s="73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99"/>
      <c r="X61" s="93"/>
      <c r="Y61" s="93"/>
      <c r="Z61" s="93"/>
      <c r="AA61" s="93"/>
      <c r="AB61" s="93"/>
      <c r="AC61" s="93"/>
      <c r="AD61" s="93"/>
      <c r="AE61" s="93"/>
      <c r="AF61" s="116"/>
    </row>
    <row r="62" s="2" customFormat="1" ht="22" customHeight="1" spans="1:32">
      <c r="A62" s="51"/>
      <c r="B62" s="57" t="str">
        <f>"("&amp;ROUND(DAYS360(B59,B61)/30,0)+0&amp;"ヶ月)"</f>
        <v>(11ヶ月)</v>
      </c>
      <c r="C62" s="4"/>
      <c r="D62" s="4"/>
      <c r="E62" s="4"/>
      <c r="F62" s="78"/>
      <c r="G62" s="73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99"/>
      <c r="X62" s="94"/>
      <c r="Y62" s="94"/>
      <c r="Z62" s="102" t="s">
        <v>42</v>
      </c>
      <c r="AA62" s="102" t="s">
        <v>42</v>
      </c>
      <c r="AB62" s="109"/>
      <c r="AC62" s="113" t="s">
        <v>42</v>
      </c>
      <c r="AD62" s="113" t="s">
        <v>42</v>
      </c>
      <c r="AE62" s="113" t="s">
        <v>42</v>
      </c>
      <c r="AF62" s="115"/>
    </row>
    <row r="63" s="2" customFormat="1" ht="15" customHeight="1" spans="1:32">
      <c r="A63" s="51"/>
      <c r="B63" s="57"/>
      <c r="C63" s="4"/>
      <c r="D63" s="4"/>
      <c r="E63" s="4"/>
      <c r="F63" s="78"/>
      <c r="G63" s="73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99"/>
      <c r="X63" s="95" t="s">
        <v>57</v>
      </c>
      <c r="Y63" s="103"/>
      <c r="Z63" s="103"/>
      <c r="AA63" s="104"/>
      <c r="AB63" s="95" t="s">
        <v>55</v>
      </c>
      <c r="AC63" s="103"/>
      <c r="AD63" s="103"/>
      <c r="AE63" s="103"/>
      <c r="AF63" s="104"/>
    </row>
    <row r="64" s="2" customFormat="1" ht="122" customHeight="1" spans="1:32">
      <c r="A64" s="51"/>
      <c r="B64" s="57"/>
      <c r="C64" s="4"/>
      <c r="D64" s="4"/>
      <c r="E64" s="4"/>
      <c r="F64" s="78"/>
      <c r="G64" s="73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99"/>
      <c r="X64" s="96"/>
      <c r="Y64" s="105"/>
      <c r="Z64" s="105"/>
      <c r="AA64" s="106"/>
      <c r="AB64" s="96"/>
      <c r="AC64" s="105"/>
      <c r="AD64" s="105"/>
      <c r="AE64" s="105"/>
      <c r="AF64" s="106"/>
    </row>
    <row r="65" s="2" customFormat="1" ht="18" customHeight="1" spans="1:32">
      <c r="A65" s="51"/>
      <c r="B65" s="47" t="s">
        <v>45</v>
      </c>
      <c r="C65" s="48"/>
      <c r="D65" s="48"/>
      <c r="E65" s="48"/>
      <c r="F65" s="69"/>
      <c r="G65" s="73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99"/>
      <c r="X65" s="96"/>
      <c r="Y65" s="105"/>
      <c r="Z65" s="105"/>
      <c r="AA65" s="106"/>
      <c r="AB65" s="96"/>
      <c r="AC65" s="105"/>
      <c r="AD65" s="105"/>
      <c r="AE65" s="105"/>
      <c r="AF65" s="106"/>
    </row>
    <row r="66" s="2" customFormat="1" ht="18" customHeight="1" spans="1:32">
      <c r="A66" s="54"/>
      <c r="B66" s="50" t="s">
        <v>46</v>
      </c>
      <c r="C66" s="50"/>
      <c r="D66" s="50"/>
      <c r="E66" s="50"/>
      <c r="F66" s="50"/>
      <c r="G66" s="75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100"/>
      <c r="X66" s="97"/>
      <c r="Y66" s="107"/>
      <c r="Z66" s="107"/>
      <c r="AA66" s="108"/>
      <c r="AB66" s="97"/>
      <c r="AC66" s="107"/>
      <c r="AD66" s="107"/>
      <c r="AE66" s="107"/>
      <c r="AF66" s="108"/>
    </row>
    <row r="67" s="2" customFormat="1" ht="23" customHeight="1" spans="1:32">
      <c r="A67" s="42">
        <f>A59+1</f>
        <v>7</v>
      </c>
      <c r="B67" s="31">
        <v>42278</v>
      </c>
      <c r="C67" s="31"/>
      <c r="D67" s="31"/>
      <c r="E67" s="31"/>
      <c r="F67" s="31"/>
      <c r="G67" s="70" t="s">
        <v>58</v>
      </c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98"/>
      <c r="X67" s="91" t="s">
        <v>32</v>
      </c>
      <c r="Y67" s="91" t="s">
        <v>33</v>
      </c>
      <c r="Z67" s="91" t="s">
        <v>34</v>
      </c>
      <c r="AA67" s="91" t="s">
        <v>35</v>
      </c>
      <c r="AB67" s="92" t="s">
        <v>36</v>
      </c>
      <c r="AC67" s="91" t="s">
        <v>37</v>
      </c>
      <c r="AD67" s="91" t="s">
        <v>38</v>
      </c>
      <c r="AE67" s="91" t="s">
        <v>39</v>
      </c>
      <c r="AF67" s="116" t="s">
        <v>40</v>
      </c>
    </row>
    <row r="68" s="2" customFormat="1" ht="25" customHeight="1" spans="1:32">
      <c r="A68" s="51"/>
      <c r="B68" s="52" t="s">
        <v>41</v>
      </c>
      <c r="C68" s="53"/>
      <c r="D68" s="53"/>
      <c r="E68" s="53"/>
      <c r="F68" s="72"/>
      <c r="G68" s="73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99"/>
      <c r="X68" s="92"/>
      <c r="Y68" s="92"/>
      <c r="Z68" s="92"/>
      <c r="AA68" s="92"/>
      <c r="AB68" s="92"/>
      <c r="AC68" s="92"/>
      <c r="AD68" s="92"/>
      <c r="AE68" s="92"/>
      <c r="AF68" s="116"/>
    </row>
    <row r="69" s="2" customFormat="1" ht="27" customHeight="1" spans="1:32">
      <c r="A69" s="51"/>
      <c r="B69" s="31">
        <v>42461</v>
      </c>
      <c r="C69" s="31"/>
      <c r="D69" s="31"/>
      <c r="E69" s="31"/>
      <c r="F69" s="31"/>
      <c r="G69" s="73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99"/>
      <c r="X69" s="93"/>
      <c r="Y69" s="93"/>
      <c r="Z69" s="93"/>
      <c r="AA69" s="93"/>
      <c r="AB69" s="93"/>
      <c r="AC69" s="93"/>
      <c r="AD69" s="93"/>
      <c r="AE69" s="93"/>
      <c r="AF69" s="116"/>
    </row>
    <row r="70" s="2" customFormat="1" ht="22" customHeight="1" spans="1:32">
      <c r="A70" s="51"/>
      <c r="B70" s="57" t="str">
        <f>"("&amp;ROUND(DAYS360(B67,B69)/30,0)+0&amp;"ヶ月)"</f>
        <v>(6ヶ月)</v>
      </c>
      <c r="C70" s="4"/>
      <c r="D70" s="4"/>
      <c r="E70" s="4"/>
      <c r="F70" s="78"/>
      <c r="G70" s="73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99"/>
      <c r="X70" s="94"/>
      <c r="Y70" s="94"/>
      <c r="Z70" s="102" t="s">
        <v>42</v>
      </c>
      <c r="AA70" s="102" t="s">
        <v>42</v>
      </c>
      <c r="AB70" s="109"/>
      <c r="AC70" s="113" t="s">
        <v>42</v>
      </c>
      <c r="AD70" s="113" t="s">
        <v>42</v>
      </c>
      <c r="AE70" s="113" t="s">
        <v>42</v>
      </c>
      <c r="AF70" s="115"/>
    </row>
    <row r="71" s="2" customFormat="1" ht="15" customHeight="1" spans="1:32">
      <c r="A71" s="51"/>
      <c r="B71" s="57"/>
      <c r="C71" s="4"/>
      <c r="D71" s="4"/>
      <c r="E71" s="4"/>
      <c r="F71" s="78"/>
      <c r="G71" s="73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99"/>
      <c r="X71" s="95" t="s">
        <v>59</v>
      </c>
      <c r="Y71" s="103"/>
      <c r="Z71" s="103"/>
      <c r="AA71" s="104"/>
      <c r="AB71" s="95" t="s">
        <v>60</v>
      </c>
      <c r="AC71" s="103"/>
      <c r="AD71" s="103"/>
      <c r="AE71" s="103"/>
      <c r="AF71" s="104"/>
    </row>
    <row r="72" s="2" customFormat="1" ht="121" customHeight="1" spans="1:32">
      <c r="A72" s="51"/>
      <c r="B72" s="57"/>
      <c r="C72" s="4"/>
      <c r="D72" s="4"/>
      <c r="E72" s="4"/>
      <c r="F72" s="78"/>
      <c r="G72" s="73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99"/>
      <c r="X72" s="96"/>
      <c r="Y72" s="105"/>
      <c r="Z72" s="105"/>
      <c r="AA72" s="106"/>
      <c r="AB72" s="96"/>
      <c r="AC72" s="105"/>
      <c r="AD72" s="105"/>
      <c r="AE72" s="105"/>
      <c r="AF72" s="106"/>
    </row>
    <row r="73" s="2" customFormat="1" ht="18" customHeight="1" spans="1:32">
      <c r="A73" s="51"/>
      <c r="B73" s="47" t="s">
        <v>45</v>
      </c>
      <c r="C73" s="48"/>
      <c r="D73" s="48"/>
      <c r="E73" s="48"/>
      <c r="F73" s="69"/>
      <c r="G73" s="73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99"/>
      <c r="X73" s="96"/>
      <c r="Y73" s="105"/>
      <c r="Z73" s="105"/>
      <c r="AA73" s="106"/>
      <c r="AB73" s="96"/>
      <c r="AC73" s="105"/>
      <c r="AD73" s="105"/>
      <c r="AE73" s="105"/>
      <c r="AF73" s="106"/>
    </row>
    <row r="74" s="2" customFormat="1" ht="18" customHeight="1" spans="1:32">
      <c r="A74" s="54"/>
      <c r="B74" s="50" t="s">
        <v>46</v>
      </c>
      <c r="C74" s="50"/>
      <c r="D74" s="50"/>
      <c r="E74" s="50"/>
      <c r="F74" s="50"/>
      <c r="G74" s="75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100"/>
      <c r="X74" s="97"/>
      <c r="Y74" s="107"/>
      <c r="Z74" s="107"/>
      <c r="AA74" s="108"/>
      <c r="AB74" s="97"/>
      <c r="AC74" s="107"/>
      <c r="AD74" s="107"/>
      <c r="AE74" s="107"/>
      <c r="AF74" s="108"/>
    </row>
    <row r="75" customHeight="1" spans="1:32">
      <c r="A75" s="121" t="s">
        <v>61</v>
      </c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</row>
    <row r="76" customHeight="1" spans="1:32">
      <c r="A76" s="122" t="s">
        <v>62</v>
      </c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  <c r="AD76" s="122"/>
      <c r="AE76" s="122"/>
      <c r="AF76" s="122"/>
    </row>
    <row r="77" customHeight="1" spans="1:32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  <c r="AD77" s="122"/>
      <c r="AE77" s="122"/>
      <c r="AF77" s="122"/>
    </row>
    <row r="78" customHeight="1" spans="1:32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  <c r="AD78" s="122"/>
      <c r="AE78" s="122"/>
      <c r="AF78" s="122"/>
    </row>
  </sheetData>
  <mergeCells count="166">
    <mergeCell ref="A1:AF1"/>
    <mergeCell ref="AB2:AF2"/>
    <mergeCell ref="A3:H3"/>
    <mergeCell ref="I3:L3"/>
    <mergeCell ref="M3:T3"/>
    <mergeCell ref="U3:AF3"/>
    <mergeCell ref="A4:H4"/>
    <mergeCell ref="I4:L4"/>
    <mergeCell ref="M4:T4"/>
    <mergeCell ref="U4:AF4"/>
    <mergeCell ref="A5:L5"/>
    <mergeCell ref="M5:T5"/>
    <mergeCell ref="U5:AA5"/>
    <mergeCell ref="AB5:AF5"/>
    <mergeCell ref="A6:L6"/>
    <mergeCell ref="M6:T6"/>
    <mergeCell ref="U6:AA6"/>
    <mergeCell ref="AB6:AF6"/>
    <mergeCell ref="A9:AF9"/>
    <mergeCell ref="A10:AF10"/>
    <mergeCell ref="A11:AF11"/>
    <mergeCell ref="A12:AF12"/>
    <mergeCell ref="A13:AF13"/>
    <mergeCell ref="A15:D15"/>
    <mergeCell ref="E15:AF15"/>
    <mergeCell ref="X17:AF17"/>
    <mergeCell ref="X18:AA18"/>
    <mergeCell ref="AB18:AF18"/>
    <mergeCell ref="B19:F19"/>
    <mergeCell ref="B20:F20"/>
    <mergeCell ref="B21:F21"/>
    <mergeCell ref="B25:F25"/>
    <mergeCell ref="B26:F26"/>
    <mergeCell ref="B27:F27"/>
    <mergeCell ref="B28:F28"/>
    <mergeCell ref="B29:F29"/>
    <mergeCell ref="B33:F33"/>
    <mergeCell ref="B34:F34"/>
    <mergeCell ref="B35:F35"/>
    <mergeCell ref="B36:F36"/>
    <mergeCell ref="B37:F37"/>
    <mergeCell ref="B41:F41"/>
    <mergeCell ref="B42:F42"/>
    <mergeCell ref="B43:F43"/>
    <mergeCell ref="B44:F44"/>
    <mergeCell ref="B45:F45"/>
    <mergeCell ref="B49:F49"/>
    <mergeCell ref="B50:F50"/>
    <mergeCell ref="B51:F51"/>
    <mergeCell ref="B52:F52"/>
    <mergeCell ref="B53:F53"/>
    <mergeCell ref="B57:F57"/>
    <mergeCell ref="B58:F58"/>
    <mergeCell ref="B59:F59"/>
    <mergeCell ref="B60:F60"/>
    <mergeCell ref="B61:F61"/>
    <mergeCell ref="B65:F65"/>
    <mergeCell ref="B66:F66"/>
    <mergeCell ref="B67:F67"/>
    <mergeCell ref="B68:F68"/>
    <mergeCell ref="B69:F69"/>
    <mergeCell ref="B73:F73"/>
    <mergeCell ref="B74:F74"/>
    <mergeCell ref="A75:AF75"/>
    <mergeCell ref="A17:A18"/>
    <mergeCell ref="A19:A26"/>
    <mergeCell ref="A27:A34"/>
    <mergeCell ref="A35:A42"/>
    <mergeCell ref="A43:A50"/>
    <mergeCell ref="A51:A58"/>
    <mergeCell ref="A59:A66"/>
    <mergeCell ref="A67:A74"/>
    <mergeCell ref="X19:X21"/>
    <mergeCell ref="X27:X29"/>
    <mergeCell ref="X35:X37"/>
    <mergeCell ref="X43:X45"/>
    <mergeCell ref="X51:X53"/>
    <mergeCell ref="X59:X61"/>
    <mergeCell ref="X67:X69"/>
    <mergeCell ref="Y19:Y21"/>
    <mergeCell ref="Y27:Y29"/>
    <mergeCell ref="Y35:Y37"/>
    <mergeCell ref="Y43:Y45"/>
    <mergeCell ref="Y51:Y53"/>
    <mergeCell ref="Y59:Y61"/>
    <mergeCell ref="Y67:Y69"/>
    <mergeCell ref="Z19:Z21"/>
    <mergeCell ref="Z27:Z29"/>
    <mergeCell ref="Z35:Z37"/>
    <mergeCell ref="Z43:Z45"/>
    <mergeCell ref="Z51:Z53"/>
    <mergeCell ref="Z59:Z61"/>
    <mergeCell ref="Z67:Z69"/>
    <mergeCell ref="AA19:AA21"/>
    <mergeCell ref="AA27:AA29"/>
    <mergeCell ref="AA35:AA37"/>
    <mergeCell ref="AA43:AA45"/>
    <mergeCell ref="AA51:AA53"/>
    <mergeCell ref="AA59:AA61"/>
    <mergeCell ref="AA67:AA69"/>
    <mergeCell ref="AB19:AB21"/>
    <mergeCell ref="AB27:AB29"/>
    <mergeCell ref="AB35:AB37"/>
    <mergeCell ref="AB43:AB45"/>
    <mergeCell ref="AB51:AB53"/>
    <mergeCell ref="AB59:AB61"/>
    <mergeCell ref="AB67:AB69"/>
    <mergeCell ref="AC19:AC21"/>
    <mergeCell ref="AC27:AC29"/>
    <mergeCell ref="AC35:AC37"/>
    <mergeCell ref="AC43:AC45"/>
    <mergeCell ref="AC51:AC53"/>
    <mergeCell ref="AC59:AC61"/>
    <mergeCell ref="AC67:AC69"/>
    <mergeCell ref="AD19:AD21"/>
    <mergeCell ref="AD27:AD29"/>
    <mergeCell ref="AD35:AD37"/>
    <mergeCell ref="AD43:AD45"/>
    <mergeCell ref="AD51:AD53"/>
    <mergeCell ref="AD59:AD61"/>
    <mergeCell ref="AD67:AD69"/>
    <mergeCell ref="AE19:AE21"/>
    <mergeCell ref="AE27:AE29"/>
    <mergeCell ref="AE35:AE37"/>
    <mergeCell ref="AE43:AE45"/>
    <mergeCell ref="AE51:AE53"/>
    <mergeCell ref="AE59:AE61"/>
    <mergeCell ref="AE67:AE69"/>
    <mergeCell ref="AF19:AF21"/>
    <mergeCell ref="AF27:AF29"/>
    <mergeCell ref="AF35:AF37"/>
    <mergeCell ref="AF43:AF45"/>
    <mergeCell ref="AF51:AF53"/>
    <mergeCell ref="AF59:AF61"/>
    <mergeCell ref="AF67:AF69"/>
    <mergeCell ref="AB23:AF26"/>
    <mergeCell ref="AB31:AF34"/>
    <mergeCell ref="AB39:AF42"/>
    <mergeCell ref="X31:AA34"/>
    <mergeCell ref="X23:AA26"/>
    <mergeCell ref="G17:W18"/>
    <mergeCell ref="B22:F24"/>
    <mergeCell ref="G35:W42"/>
    <mergeCell ref="X39:AA42"/>
    <mergeCell ref="G51:W58"/>
    <mergeCell ref="G43:W50"/>
    <mergeCell ref="AB47:AF50"/>
    <mergeCell ref="AB55:AF58"/>
    <mergeCell ref="G27:W34"/>
    <mergeCell ref="B30:F32"/>
    <mergeCell ref="B38:F40"/>
    <mergeCell ref="B54:F56"/>
    <mergeCell ref="X55:AA58"/>
    <mergeCell ref="B46:F48"/>
    <mergeCell ref="G19:W26"/>
    <mergeCell ref="B17:F18"/>
    <mergeCell ref="X47:AA50"/>
    <mergeCell ref="G59:W66"/>
    <mergeCell ref="B62:F64"/>
    <mergeCell ref="X63:AA66"/>
    <mergeCell ref="AB63:AF66"/>
    <mergeCell ref="G67:W74"/>
    <mergeCell ref="B70:F72"/>
    <mergeCell ref="X71:AA74"/>
    <mergeCell ref="AB71:AF74"/>
    <mergeCell ref="A76:AF78"/>
  </mergeCells>
  <pageMargins left="0.638888888888889" right="0.638888888888889" top="0.75" bottom="0.75" header="0.3" footer="0.3"/>
  <pageSetup paperSize="9" fitToHeight="3" orientation="portrait"/>
  <headerFooter>
    <oddFooter>&amp;C&amp;"ＭＳ Ｐ明朝,標準"&amp;8&amp;P/&amp;N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職務経歴書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 Eikon</dc:creator>
  <cp:lastModifiedBy>Microsoft Office User</cp:lastModifiedBy>
  <dcterms:created xsi:type="dcterms:W3CDTF">2016-08-27T05:25:00Z</dcterms:created>
  <cp:lastPrinted>2018-05-22T00:29:00Z</cp:lastPrinted>
  <dcterms:modified xsi:type="dcterms:W3CDTF">2020-11-30T17:32:53Z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2052-3.0.0.4824</vt:lpwstr>
  </property>
</Properties>
</file>