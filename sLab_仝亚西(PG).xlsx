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175" tabRatio="500"/>
  </bookViews>
  <sheets>
    <sheet name="職務経歴書" sheetId="4" r:id="rId1"/>
  </sheets>
  <calcPr calcId="145621"/>
</workbook>
</file>

<file path=xl/calcChain.xml><?xml version="1.0" encoding="utf-8"?>
<calcChain xmlns="http://schemas.openxmlformats.org/spreadsheetml/2006/main">
  <c r="B22" i="4" l="1"/>
  <c r="B91" i="4"/>
  <c r="B83" i="4"/>
  <c r="B75" i="4"/>
  <c r="B67" i="4"/>
  <c r="B59" i="4"/>
  <c r="B51" i="4"/>
  <c r="A48" i="4"/>
  <c r="A56" i="4" s="1"/>
  <c r="A64" i="4" s="1"/>
  <c r="A72" i="4" s="1"/>
  <c r="A80" i="4" s="1"/>
  <c r="A88" i="4" s="1"/>
  <c r="B43" i="4"/>
  <c r="AB2" i="4"/>
</calcChain>
</file>

<file path=xl/sharedStrings.xml><?xml version="1.0" encoding="utf-8"?>
<sst xmlns="http://schemas.openxmlformats.org/spreadsheetml/2006/main" count="195" uniqueCount="67">
  <si>
    <t>職 務 経 歴 書</t>
  </si>
  <si>
    <t>氏名(カナ）</t>
  </si>
  <si>
    <t>性別</t>
  </si>
  <si>
    <t>生年月日（XX年XX月）</t>
  </si>
  <si>
    <t>最終学歴（卒業年月）</t>
  </si>
  <si>
    <t>仝亜西(ドウアセイ)</t>
  </si>
  <si>
    <t>男</t>
  </si>
  <si>
    <t>1995年2月 (24歳)</t>
  </si>
  <si>
    <t>現住所</t>
  </si>
  <si>
    <t>最寄駅</t>
  </si>
  <si>
    <t>来日年月</t>
  </si>
  <si>
    <t>経験年数</t>
  </si>
  <si>
    <t>都営新宿線/船堀駅</t>
  </si>
  <si>
    <t>2019年　　7月</t>
  </si>
  <si>
    <t>5年</t>
  </si>
  <si>
    <t>□ 得意分野</t>
  </si>
  <si>
    <t>Mybatis、Redis</t>
  </si>
  <si>
    <t>豊富な開発経験、様々な障碍の修正が対応可能</t>
  </si>
  <si>
    <t>□ 保有資格</t>
  </si>
  <si>
    <t>JLPT N2</t>
  </si>
  <si>
    <t>日本語能力試験</t>
  </si>
  <si>
    <t>No.</t>
  </si>
  <si>
    <t>期間</t>
  </si>
  <si>
    <t>プロジェクト内容</t>
  </si>
  <si>
    <t>作業工程</t>
  </si>
  <si>
    <t>OS・ミドルウェア</t>
  </si>
  <si>
    <t>言語・ツール</t>
  </si>
  <si>
    <t>【案件名】
企業内部の情報発表システム
□ 概要
文章発表、文章管理、コメント管理、カテゴリ・タグ管理、権限管理、登録ログ、システムログ、ユーザー情報管理、Redis監視などを管理するシステム
□ 規模・チーム構成
PM：1人
デザイナー：1人
フロントエンド：3人
バックエンド：2人
□ 担当内容
①登録機能、文章発表、文章詳細画面、文章のコメント機能、登録ログ、システムログなどの設計と開発をする
②開発レビュー
③障害調査、分析、対応</t>
  </si>
  <si>
    <t>要件定義</t>
  </si>
  <si>
    <t>調査分析</t>
  </si>
  <si>
    <t>基本設計</t>
  </si>
  <si>
    <t>詳細設計</t>
  </si>
  <si>
    <t>製造</t>
  </si>
  <si>
    <t>単体テスト</t>
  </si>
  <si>
    <t>結合テスト</t>
  </si>
  <si>
    <t>総合テスト</t>
  </si>
  <si>
    <t>保守運用</t>
  </si>
  <si>
    <t>〜</t>
  </si>
  <si>
    <t>○</t>
  </si>
  <si>
    <t xml:space="preserve">□ OS
Mac OS
□ DB
MySql
□ サーバー
Tomcat
□ その他
フロントエンド：Vue.js
ElementUI
</t>
  </si>
  <si>
    <t>□ 開発言語
JAVA
□フレームワーク
Spring+SpringBoot+ MyBatis
権限フレームワーク：
Shiro
キャッシュフレームワーク：
Redis
テンプレートエンジン：
Thymeleaf 
□ 開発ツール
IntelliJ IDEA
SVN
Maven</t>
  </si>
  <si>
    <t>中国</t>
  </si>
  <si>
    <t>PG</t>
  </si>
  <si>
    <t>□ OS
Windows
□ DB
MySql
□ サーバー
Tomcat
□ その他
フロントエンド：
AngularJS
scss
JavaScript</t>
  </si>
  <si>
    <t>□ 開発言語
JAVA
□フレームワーク
SpringMVC
□ 開発ツール
Eclipse
SVN
Maven</t>
  </si>
  <si>
    <t>【案件名】
FrontSHIP異業種連携オプションデモ開発
（対日開発・日本富士通(北京)系统工程有限会社）
□ 概要
ログイン機能、アカウント新規機能、住宅ローンシミュレーション、権限管理、多設備登録制限、ログ出力
□ 規模・チーム構成
PM：1人
デザイナー：1人
フロントエンド：3人
バックエンド：1人
□ 担当内容
①システムに関する機能を開発する
②IT仕様書・ST仕様書を作成し、全員テストする
③フロントエンド・バックエンド連携する
④結合テストした結果、バグをレビューする
⑤バックエンドの発行に対して、日本側とメールで連絡する</t>
  </si>
  <si>
    <t>□ OS
Windows
□ DB
MySql
□ サーバー
Tomcat
□ その他
フロントエンド：
AngularJS
JavaScript
scss</t>
  </si>
  <si>
    <t>【案件名】
プロジェクト名：デジタルバンキングプロトタイプV7デモ開発
（対日開発・日本富士通(北京)系统工程有限会社）
□ 概要
支払い機能、住宅ローンシミュレーション
□ 規模・チーム構成
PM：1人
デザイナー：1人
フロントエンド：3人
バックエンド：1人
□ 担当内容
①住宅ローンシミュレーション機能を開発する
②フロントエンド・バックエンド連携する
③住宅ローンについてバグをレビューする</t>
  </si>
  <si>
    <t>【案件名】
旅行業務管理システム
□ 概要
プロダクト情報、旅行チーム情報、商品情報、登録機能、権限管理を管理するシステム
□ 規模・チーム構成
PM：1人
SE：1人
デザイナー：4人
フロントエンド：4人
バックエンド：5人
STE：2人
□ 担当内容
①システムについて需要調査を行う
②日常使用中に出てくる問題を収集する
③結合テスト、総合テスト、障害調査、分析、対応</t>
  </si>
  <si>
    <t>□ OS
Windows
□ DB
Oracle
□ サーバー
Tomcat
□ その他
フロントエンド：
JavaScript
Ajax
JQuery
Bootstrap</t>
  </si>
  <si>
    <t>□ 開発言語
JAVA
□フレームワーク
Spring+SpringMVC+Mybatis
□ 開発ツール
Eclipse
SVN
Maven</t>
  </si>
  <si>
    <t>【案件名】
蘇州版図社員管理システム
□ 概要
企業情報、部門管理、休暇管理、履歴書アップロード、給料管理、権限管理などをバックエンド管理開発するシステム
□ 規模・チーム構成
PM：1人
SE：1人
フロントエンド：4人
バックエンド：5人
STE：2人
□ 担当内容
①権限管理、休暇管理を開発する
②システムのバグをレビューする
③開発レビュー
④結合テスト、総合テスト、障害調査、分析、対応</t>
  </si>
  <si>
    <t>□ OS
Windows
□ DB
MySql
□ サーバー
Tomcat
□ その他
JavaScript
JQuery
JQGrid
Ajax</t>
  </si>
  <si>
    <t>【案件名】
企業社員の出勤管理システム
□ 概要
出勤一覧、部門一覧、部門管理、社員一覧、仕事配属、仕事タイミングをバックエンド管理開発するシステム
□ 規模・チーム構成
PM：1人
SE：1人
フロントエンド：２人
バックエンド：２人
□ 担当内容
①社員一覧、仕事配属、仕事タイミングを開発する
②システムのバグをレビューする
③開発レビュー
④結合テスト、総合テスト、障害調査、分析、対応</t>
  </si>
  <si>
    <t>□ OS
Windows
□ DB
MySql
□ サーバー
Tomcat
□ その他
JavaScript
JSP
CSS
Servelet</t>
  </si>
  <si>
    <t>□ 開発言語
JAVA
□フレームワーク
Spring+SpringMVC
□ 開発ツール
Eclipse
SVN
Maven</t>
  </si>
  <si>
    <t>備考</t>
  </si>
  <si>
    <r>
      <t>Java4年、</t>
    </r>
    <r>
      <rPr>
        <sz val="9"/>
        <color theme="1"/>
        <rFont val="ＭＳ Ｐ明朝"/>
        <family val="1"/>
        <charset val="128"/>
      </rPr>
      <t>Seasar2、</t>
    </r>
    <r>
      <rPr>
        <sz val="9"/>
        <color theme="1"/>
        <rFont val="ＭＳ Ｐ明朝"/>
        <charset val="128"/>
      </rPr>
      <t>Spring、SpringMVC、SpringBoot</t>
    </r>
    <phoneticPr fontId="11"/>
  </si>
  <si>
    <t>・趣味、特技： プログラミング、音楽、サイクリング
・日本語は日常会話、文書作成や、仕様書、資料など文書の理解は問題なく行えます。
・基本・詳細設計書の作業は修正が多いです。</t>
    <rPh sb="16" eb="18">
      <t>オンガク</t>
    </rPh>
    <rPh sb="67" eb="69">
      <t>キホン</t>
    </rPh>
    <rPh sb="70" eb="75">
      <t>ショウサイセッケイショ</t>
    </rPh>
    <rPh sb="76" eb="78">
      <t>サギョウ</t>
    </rPh>
    <rPh sb="79" eb="81">
      <t>シュウセイ</t>
    </rPh>
    <rPh sb="82" eb="83">
      <t>オオ</t>
    </rPh>
    <phoneticPr fontId="11"/>
  </si>
  <si>
    <t>東京都江戸川区船堀一丁目</t>
    <rPh sb="9" eb="10">
      <t>イッ</t>
    </rPh>
    <rPh sb="10" eb="12">
      <t>チョウメ</t>
    </rPh>
    <phoneticPr fontId="11"/>
  </si>
  <si>
    <r>
      <t>泰州学院(応用日</t>
    </r>
    <r>
      <rPr>
        <sz val="9"/>
        <color theme="1"/>
        <rFont val="NSimSun"/>
        <family val="3"/>
        <charset val="134"/>
      </rPr>
      <t>语</t>
    </r>
    <r>
      <rPr>
        <sz val="9"/>
        <color theme="1"/>
        <rFont val="ＭＳ Ｐ明朝"/>
        <charset val="128"/>
      </rPr>
      <t>)2016年7月 卒業</t>
    </r>
    <rPh sb="0" eb="1">
      <t>タイ</t>
    </rPh>
    <rPh sb="1" eb="2">
      <t>シュウ</t>
    </rPh>
    <rPh sb="2" eb="4">
      <t>ガクイン</t>
    </rPh>
    <phoneticPr fontId="11"/>
  </si>
  <si>
    <r>
      <t>JavaScript、CSS、Servlet、JSP、HTML、JQuery、Ajax、BootStrap、AngularJS、V</t>
    </r>
    <r>
      <rPr>
        <sz val="9"/>
        <color theme="1"/>
        <rFont val="ＭＳ Ｐ明朝"/>
        <family val="1"/>
        <charset val="128"/>
      </rPr>
      <t>ue</t>
    </r>
    <r>
      <rPr>
        <sz val="9"/>
        <color theme="1"/>
        <rFont val="ＭＳ Ｐ明朝"/>
        <charset val="128"/>
      </rPr>
      <t>.JS</t>
    </r>
    <phoneticPr fontId="11"/>
  </si>
  <si>
    <r>
      <t>□ 開発言語
JAVA
□フレームワーク
Seasar2+S2JDBC</t>
    </r>
    <r>
      <rPr>
        <sz val="8"/>
        <color theme="1"/>
        <rFont val="ＭＳ Ｐ明朝"/>
        <charset val="128"/>
      </rPr>
      <t xml:space="preserve">
テンプレートエンジン：
</t>
    </r>
    <r>
      <rPr>
        <sz val="8"/>
        <color theme="1"/>
        <rFont val="ＭＳ Ｐ明朝"/>
        <family val="1"/>
        <charset val="128"/>
      </rPr>
      <t>JSP</t>
    </r>
    <r>
      <rPr>
        <sz val="8"/>
        <color theme="1"/>
        <rFont val="ＭＳ Ｐ明朝"/>
        <charset val="128"/>
      </rPr>
      <t xml:space="preserve"> 
□ 開発ツール
</t>
    </r>
    <r>
      <rPr>
        <sz val="8"/>
        <color theme="1"/>
        <rFont val="ＭＳ Ｐ明朝"/>
        <family val="1"/>
        <charset val="128"/>
      </rPr>
      <t>Eclipse</t>
    </r>
    <r>
      <rPr>
        <sz val="8"/>
        <color theme="1"/>
        <rFont val="ＭＳ Ｐ明朝"/>
        <charset val="128"/>
      </rPr>
      <t xml:space="preserve">
SVN
Maven</t>
    </r>
    <phoneticPr fontId="11"/>
  </si>
  <si>
    <t>日本</t>
    <phoneticPr fontId="11"/>
  </si>
  <si>
    <t>□ OS
Window OS
□ DB
MySql
□ サーバー
Tomcat</t>
    <phoneticPr fontId="11"/>
  </si>
  <si>
    <t>【案件名】
加盟店（SFDC）バッチ処理業務
□ 概要
加盟店管理システムと他の関連システム、毎日各システムの最新データを取得して、バッチ処理としてのデータを操る。(CSVからDBに入力、DBからCSVまたはExcelに出力など)
□ 規模・チーム構成
PM：1人
バックエンド：3人
□ 担当内容
①基本設計書から単体テストまで対応します。
②業務ロジックの難易度より、お客さんと打ち合わせした後、一番良いの実現方式をお客さんに提案することもあります。
③他のチームメンバーに技術支とか、できることなら頑張ります。
④Excelで加盟店補助データ移行を処理します。
【案件名】
加盟店保守・運用業務（xTen加盟店情報管理システム）
□ 概要
□ 規模・チーム構成
PM：1人
バックエンド：3人
□ 担当内容</t>
    <rPh sb="6" eb="9">
      <t>カメイテン</t>
    </rPh>
    <rPh sb="18" eb="20">
      <t>ショリ</t>
    </rPh>
    <rPh sb="20" eb="22">
      <t>ギョウム</t>
    </rPh>
    <rPh sb="152" eb="157">
      <t>キホンセッケイショ</t>
    </rPh>
    <rPh sb="159" eb="161">
      <t>タンタイ</t>
    </rPh>
    <rPh sb="166" eb="168">
      <t>タイオウ</t>
    </rPh>
    <rPh sb="174" eb="176">
      <t>ギョウム</t>
    </rPh>
    <rPh sb="181" eb="184">
      <t>ナンイド</t>
    </rPh>
    <rPh sb="188" eb="189">
      <t>キャク</t>
    </rPh>
    <rPh sb="192" eb="193">
      <t>ウ</t>
    </rPh>
    <rPh sb="194" eb="195">
      <t>ア</t>
    </rPh>
    <rPh sb="199" eb="200">
      <t>アト</t>
    </rPh>
    <rPh sb="201" eb="203">
      <t>イチバン</t>
    </rPh>
    <rPh sb="203" eb="204">
      <t>ヨ</t>
    </rPh>
    <rPh sb="206" eb="208">
      <t>ジツゲン</t>
    </rPh>
    <rPh sb="208" eb="210">
      <t>ホウシキ</t>
    </rPh>
    <rPh sb="212" eb="213">
      <t>キャク</t>
    </rPh>
    <rPh sb="216" eb="218">
      <t>テイアン</t>
    </rPh>
    <rPh sb="230" eb="231">
      <t>ホカ</t>
    </rPh>
    <rPh sb="240" eb="242">
      <t>ギジュツ</t>
    </rPh>
    <rPh sb="267" eb="270">
      <t>カメイテン</t>
    </rPh>
    <rPh sb="270" eb="272">
      <t>ホジョ</t>
    </rPh>
    <rPh sb="275" eb="277">
      <t>イコウ</t>
    </rPh>
    <rPh sb="278" eb="280">
      <t>ショリ</t>
    </rPh>
    <phoneticPr fontId="11"/>
  </si>
  <si>
    <r>
      <t>【案件名】
FrontSHIP異業種連携オプションデモ開発
（対日開発・日本富士通(北京)系</t>
    </r>
    <r>
      <rPr>
        <sz val="9"/>
        <color theme="1"/>
        <rFont val="NSimSun"/>
        <family val="3"/>
        <charset val="134"/>
      </rPr>
      <t>统</t>
    </r>
    <r>
      <rPr>
        <sz val="9"/>
        <color theme="1"/>
        <rFont val="ＭＳ Ｐ明朝"/>
        <charset val="128"/>
      </rPr>
      <t>工程有限会社）
□ 概要
ログイン機能、Customer端末での写真取得、Shop端末での写真アップロード、Customer端末での住宅ローンシミュレーション
□ 規模・チーム構成
PM：1人
デザイナー：1人
フロントエンド：3人
バックエンド：1人
□ 担当内容
①住宅ローンロジックを開発する
②フロントエンド・バックエンド連携する
③TestFlightにAPPを発行する</t>
    </r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</si>
</sst>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yyyy&quot;年&quot;m&quot;月&quot;;@"/>
    <numFmt numFmtId="177" formatCode="yyyy/m"/>
    <numFmt numFmtId="178" formatCode="yyyy&quot;年&quot;m&quot;月&quot;d&quot;日&quot;;@"/>
  </numFmts>
  <fonts count="15" x14ac:knownFonts="1">
    <font>
      <sz val="12"/>
      <color theme="1"/>
      <name val="ＭＳ Ｐゴシック"/>
      <charset val="128"/>
      <scheme val="minor"/>
    </font>
    <font>
      <sz val="12"/>
      <color theme="1"/>
      <name val="ＭＳ Ｐ明朝"/>
      <charset val="128"/>
    </font>
    <font>
      <sz val="16"/>
      <color theme="1"/>
      <name val="ＭＳ Ｐ明朝"/>
      <charset val="128"/>
    </font>
    <font>
      <sz val="9"/>
      <color theme="1"/>
      <name val="ＭＳ Ｐ明朝"/>
      <charset val="128"/>
    </font>
    <font>
      <sz val="8"/>
      <name val="ＭＳ Ｐ明朝"/>
      <charset val="128"/>
    </font>
    <font>
      <sz val="9"/>
      <name val="ＭＳ Ｐ明朝"/>
      <charset val="128"/>
    </font>
    <font>
      <sz val="10"/>
      <color theme="1"/>
      <name val="ＭＳ Ｐ明朝"/>
      <charset val="128"/>
    </font>
    <font>
      <sz val="8"/>
      <color theme="1"/>
      <name val="ＭＳ Ｐ明朝"/>
      <charset val="128"/>
    </font>
    <font>
      <sz val="9"/>
      <color theme="1"/>
      <name val="Arial Unicode MS"/>
      <charset val="128"/>
    </font>
    <font>
      <sz val="9"/>
      <color theme="1"/>
      <name val="ＭＳ Ｐゴシック"/>
      <family val="3"/>
      <charset val="128"/>
      <scheme val="minor"/>
    </font>
    <font>
      <sz val="8"/>
      <color rgb="FF000000"/>
      <name val="ＭＳ Ｐ明朝"/>
      <charset val="128"/>
    </font>
    <font>
      <sz val="6"/>
      <name val="ＭＳ Ｐゴシック"/>
      <family val="3"/>
      <charset val="128"/>
      <scheme val="minor"/>
    </font>
    <font>
      <sz val="9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9"/>
      <color theme="1"/>
      <name val="NSimSu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2"/>
        <bgColor rgb="FF99CCFF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NumberFormat="1" applyFont="1"/>
    <xf numFmtId="0" fontId="1" fillId="0" borderId="0" xfId="0" applyFont="1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vertical="center"/>
    </xf>
    <xf numFmtId="49" fontId="6" fillId="0" borderId="9" xfId="0" applyNumberFormat="1" applyFont="1" applyFill="1" applyBorder="1" applyAlignment="1">
      <alignment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0" xfId="0" applyNumberFormat="1" applyFont="1"/>
    <xf numFmtId="0" fontId="3" fillId="0" borderId="0" xfId="0" applyFont="1" applyFill="1" applyBorder="1" applyAlignment="1">
      <alignment horizontal="center" vertical="center"/>
    </xf>
    <xf numFmtId="0" fontId="3" fillId="0" borderId="20" xfId="0" applyNumberFormat="1" applyFont="1" applyBorder="1" applyAlignment="1">
      <alignment vertical="top" wrapText="1"/>
    </xf>
    <xf numFmtId="0" fontId="3" fillId="0" borderId="20" xfId="0" applyNumberFormat="1" applyFont="1" applyBorder="1" applyAlignment="1">
      <alignment horizontal="center" vertical="center" wrapText="1"/>
    </xf>
    <xf numFmtId="0" fontId="3" fillId="4" borderId="20" xfId="0" applyNumberFormat="1" applyFont="1" applyFill="1" applyBorder="1" applyAlignment="1">
      <alignment vertical="top" wrapText="1"/>
    </xf>
    <xf numFmtId="0" fontId="1" fillId="0" borderId="0" xfId="0" applyFont="1" applyBorder="1"/>
    <xf numFmtId="0" fontId="3" fillId="4" borderId="20" xfId="0" applyNumberFormat="1" applyFont="1" applyFill="1" applyBorder="1" applyAlignment="1">
      <alignment horizontal="center" vertical="center" wrapText="1"/>
    </xf>
    <xf numFmtId="0" fontId="1" fillId="0" borderId="15" xfId="0" applyNumberFormat="1" applyFont="1" applyBorder="1"/>
    <xf numFmtId="0" fontId="1" fillId="0" borderId="15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/>
    <xf numFmtId="0" fontId="1" fillId="0" borderId="0" xfId="0" applyNumberFormat="1" applyFont="1" applyBorder="1"/>
    <xf numFmtId="0" fontId="12" fillId="0" borderId="15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6" fillId="0" borderId="11" xfId="0" applyNumberFormat="1" applyFont="1" applyFill="1" applyBorder="1" applyAlignment="1">
      <alignment horizontal="center" vertical="center"/>
    </xf>
    <xf numFmtId="0" fontId="0" fillId="0" borderId="13" xfId="0" applyNumberFormat="1" applyFill="1" applyBorder="1" applyAlignment="1">
      <alignment horizontal="center" vertical="center"/>
    </xf>
    <xf numFmtId="176" fontId="3" fillId="0" borderId="11" xfId="0" applyNumberFormat="1" applyFont="1" applyBorder="1" applyAlignment="1">
      <alignment horizontal="left" vertical="top"/>
    </xf>
    <xf numFmtId="0" fontId="12" fillId="0" borderId="11" xfId="0" applyNumberFormat="1" applyFont="1" applyBorder="1" applyAlignment="1">
      <alignment horizontal="left" vertical="top" wrapText="1"/>
    </xf>
    <xf numFmtId="0" fontId="9" fillId="0" borderId="11" xfId="0" applyNumberFormat="1" applyFont="1" applyBorder="1" applyAlignment="1">
      <alignment horizontal="left" vertical="top" wrapText="1"/>
    </xf>
    <xf numFmtId="0" fontId="9" fillId="0" borderId="13" xfId="0" applyNumberFormat="1" applyFont="1" applyBorder="1" applyAlignment="1">
      <alignment horizontal="left" vertical="top" wrapText="1"/>
    </xf>
    <xf numFmtId="0" fontId="10" fillId="0" borderId="11" xfId="0" applyFont="1" applyBorder="1" applyAlignment="1">
      <alignment horizontal="center" vertical="center" textRotation="255" wrapText="1"/>
    </xf>
    <xf numFmtId="0" fontId="10" fillId="0" borderId="13" xfId="0" applyFont="1" applyBorder="1" applyAlignment="1">
      <alignment horizontal="center" vertical="center" textRotation="255" wrapText="1"/>
    </xf>
    <xf numFmtId="0" fontId="10" fillId="0" borderId="19" xfId="0" applyFont="1" applyBorder="1" applyAlignment="1">
      <alignment horizontal="center" vertical="center" textRotation="255" wrapText="1"/>
    </xf>
    <xf numFmtId="0" fontId="8" fillId="0" borderId="13" xfId="0" applyNumberFormat="1" applyFont="1" applyBorder="1" applyAlignment="1">
      <alignment horizontal="left" vertical="top"/>
    </xf>
    <xf numFmtId="0" fontId="3" fillId="0" borderId="13" xfId="0" applyNumberFormat="1" applyFont="1" applyBorder="1" applyAlignment="1">
      <alignment horizontal="left" vertical="top"/>
    </xf>
    <xf numFmtId="0" fontId="3" fillId="0" borderId="14" xfId="0" applyNumberFormat="1" applyFont="1" applyBorder="1" applyAlignment="1">
      <alignment horizontal="center" vertical="top"/>
    </xf>
    <xf numFmtId="0" fontId="3" fillId="0" borderId="0" xfId="0" applyNumberFormat="1" applyFont="1" applyBorder="1" applyAlignment="1">
      <alignment horizontal="center" vertical="top"/>
    </xf>
    <xf numFmtId="0" fontId="3" fillId="0" borderId="18" xfId="0" applyNumberFormat="1" applyFont="1" applyBorder="1" applyAlignment="1">
      <alignment horizontal="center" vertical="top"/>
    </xf>
    <xf numFmtId="0" fontId="3" fillId="0" borderId="12" xfId="0" applyNumberFormat="1" applyFont="1" applyBorder="1" applyAlignment="1">
      <alignment horizontal="center" vertical="top"/>
    </xf>
    <xf numFmtId="0" fontId="3" fillId="0" borderId="9" xfId="0" applyNumberFormat="1" applyFont="1" applyBorder="1" applyAlignment="1">
      <alignment horizontal="center" vertical="top"/>
    </xf>
    <xf numFmtId="0" fontId="3" fillId="0" borderId="17" xfId="0" applyNumberFormat="1" applyFont="1" applyBorder="1" applyAlignment="1">
      <alignment horizontal="center" vertical="top"/>
    </xf>
    <xf numFmtId="0" fontId="13" fillId="0" borderId="1" xfId="0" applyNumberFormat="1" applyFont="1" applyBorder="1" applyAlignment="1">
      <alignment horizontal="left" vertical="top" wrapText="1"/>
    </xf>
    <xf numFmtId="0" fontId="7" fillId="0" borderId="2" xfId="0" applyNumberFormat="1" applyFont="1" applyBorder="1" applyAlignment="1">
      <alignment horizontal="left" vertical="top" wrapText="1"/>
    </xf>
    <xf numFmtId="0" fontId="7" fillId="0" borderId="16" xfId="0" applyNumberFormat="1" applyFont="1" applyBorder="1" applyAlignment="1">
      <alignment horizontal="left" vertical="top" wrapText="1"/>
    </xf>
    <xf numFmtId="0" fontId="7" fillId="0" borderId="14" xfId="0" applyNumberFormat="1" applyFont="1" applyBorder="1" applyAlignment="1">
      <alignment horizontal="left" vertical="top" wrapText="1"/>
    </xf>
    <xf numFmtId="0" fontId="7" fillId="0" borderId="0" xfId="0" applyNumberFormat="1" applyFont="1" applyBorder="1" applyAlignment="1">
      <alignment horizontal="left" vertical="top" wrapText="1"/>
    </xf>
    <xf numFmtId="0" fontId="7" fillId="0" borderId="18" xfId="0" applyNumberFormat="1" applyFont="1" applyBorder="1" applyAlignment="1">
      <alignment horizontal="left" vertical="top" wrapText="1"/>
    </xf>
    <xf numFmtId="0" fontId="7" fillId="0" borderId="12" xfId="0" applyNumberFormat="1" applyFont="1" applyBorder="1" applyAlignment="1">
      <alignment horizontal="left" vertical="top" wrapText="1"/>
    </xf>
    <xf numFmtId="0" fontId="7" fillId="0" borderId="9" xfId="0" applyNumberFormat="1" applyFont="1" applyBorder="1" applyAlignment="1">
      <alignment horizontal="left" vertical="top" wrapText="1"/>
    </xf>
    <xf numFmtId="0" fontId="7" fillId="0" borderId="17" xfId="0" applyNumberFormat="1" applyFont="1" applyBorder="1" applyAlignment="1">
      <alignment horizontal="left" vertical="top" wrapText="1"/>
    </xf>
    <xf numFmtId="0" fontId="3" fillId="0" borderId="4" xfId="0" applyNumberFormat="1" applyFont="1" applyBorder="1" applyAlignment="1">
      <alignment horizontal="center" vertical="center"/>
    </xf>
    <xf numFmtId="0" fontId="3" fillId="0" borderId="10" xfId="0" applyNumberFormat="1" applyFont="1" applyBorder="1" applyAlignment="1">
      <alignment horizontal="center" vertical="center"/>
    </xf>
    <xf numFmtId="0" fontId="3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textRotation="255" wrapText="1"/>
    </xf>
    <xf numFmtId="0" fontId="7" fillId="0" borderId="1" xfId="0" applyNumberFormat="1" applyFont="1" applyBorder="1" applyAlignment="1">
      <alignment horizontal="left" vertical="top" wrapText="1"/>
    </xf>
    <xf numFmtId="0" fontId="7" fillId="0" borderId="15" xfId="0" applyNumberFormat="1" applyFont="1" applyBorder="1" applyAlignment="1">
      <alignment horizontal="left" vertical="top" wrapText="1"/>
    </xf>
    <xf numFmtId="0" fontId="6" fillId="0" borderId="11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11" xfId="0" applyNumberFormat="1" applyFont="1" applyBorder="1" applyAlignment="1">
      <alignment horizontal="left" vertical="top" wrapText="1"/>
    </xf>
    <xf numFmtId="0" fontId="3" fillId="0" borderId="14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18" xfId="0" applyFont="1" applyBorder="1" applyAlignment="1">
      <alignment horizontal="center" vertical="top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3" borderId="15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top"/>
    </xf>
    <xf numFmtId="49" fontId="3" fillId="0" borderId="6" xfId="0" applyNumberFormat="1" applyFont="1" applyBorder="1" applyAlignment="1">
      <alignment horizontal="left" vertical="top" wrapText="1"/>
    </xf>
    <xf numFmtId="49" fontId="3" fillId="0" borderId="7" xfId="0" applyNumberFormat="1" applyFont="1" applyBorder="1" applyAlignment="1">
      <alignment horizontal="left" vertical="top" wrapText="1"/>
    </xf>
    <xf numFmtId="49" fontId="3" fillId="0" borderId="21" xfId="0" applyNumberFormat="1" applyFont="1" applyBorder="1" applyAlignment="1">
      <alignment horizontal="left" vertical="top" wrapText="1"/>
    </xf>
    <xf numFmtId="49" fontId="3" fillId="0" borderId="8" xfId="0" applyNumberFormat="1" applyFont="1" applyBorder="1" applyAlignment="1">
      <alignment horizontal="center" vertical="top" wrapText="1"/>
    </xf>
    <xf numFmtId="49" fontId="3" fillId="0" borderId="3" xfId="0" applyNumberFormat="1" applyFont="1" applyFill="1" applyBorder="1" applyAlignment="1">
      <alignment horizontal="left" vertical="center" indent="1"/>
    </xf>
    <xf numFmtId="0" fontId="0" fillId="0" borderId="4" xfId="0" applyFill="1" applyBorder="1" applyAlignment="1">
      <alignment horizontal="left" vertical="center" indent="1"/>
    </xf>
    <xf numFmtId="0" fontId="0" fillId="0" borderId="10" xfId="0" applyFill="1" applyBorder="1" applyAlignment="1">
      <alignment horizontal="left" vertical="center" indent="1"/>
    </xf>
    <xf numFmtId="49" fontId="3" fillId="0" borderId="15" xfId="0" applyNumberFormat="1" applyFont="1" applyBorder="1" applyAlignment="1">
      <alignment horizontal="center" vertical="center"/>
    </xf>
    <xf numFmtId="0" fontId="7" fillId="3" borderId="15" xfId="0" applyNumberFormat="1" applyFont="1" applyFill="1" applyBorder="1" applyAlignment="1">
      <alignment horizontal="center" vertical="center"/>
    </xf>
    <xf numFmtId="0" fontId="7" fillId="3" borderId="11" xfId="0" applyNumberFormat="1" applyFont="1" applyFill="1" applyBorder="1" applyAlignment="1">
      <alignment horizontal="center" vertical="center"/>
    </xf>
    <xf numFmtId="0" fontId="7" fillId="3" borderId="8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/>
    </xf>
    <xf numFmtId="0" fontId="7" fillId="3" borderId="2" xfId="0" applyNumberFormat="1" applyFont="1" applyFill="1" applyBorder="1" applyAlignment="1">
      <alignment horizontal="center" vertical="center"/>
    </xf>
    <xf numFmtId="0" fontId="7" fillId="3" borderId="16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center" vertical="center"/>
    </xf>
    <xf numFmtId="0" fontId="7" fillId="3" borderId="9" xfId="0" applyNumberFormat="1" applyFont="1" applyFill="1" applyBorder="1" applyAlignment="1">
      <alignment horizontal="center" vertical="center"/>
    </xf>
    <xf numFmtId="0" fontId="7" fillId="3" borderId="17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7" fontId="5" fillId="0" borderId="3" xfId="0" applyNumberFormat="1" applyFont="1" applyFill="1" applyBorder="1" applyAlignment="1">
      <alignment horizontal="center" vertical="center"/>
    </xf>
    <xf numFmtId="177" fontId="5" fillId="0" borderId="4" xfId="0" applyNumberFormat="1" applyFont="1" applyFill="1" applyBorder="1" applyAlignment="1">
      <alignment horizontal="center" vertical="center"/>
    </xf>
    <xf numFmtId="177" fontId="5" fillId="0" borderId="10" xfId="0" applyNumberFormat="1" applyFont="1" applyFill="1" applyBorder="1" applyAlignment="1">
      <alignment horizontal="center" vertical="center"/>
    </xf>
    <xf numFmtId="49" fontId="12" fillId="0" borderId="5" xfId="0" applyNumberFormat="1" applyFont="1" applyBorder="1" applyAlignment="1">
      <alignment horizontal="left" vertical="top" wrapText="1"/>
    </xf>
    <xf numFmtId="49" fontId="3" fillId="0" borderId="5" xfId="0" applyNumberFormat="1" applyFont="1" applyBorder="1" applyAlignment="1">
      <alignment horizontal="left" vertical="top" wrapText="1"/>
    </xf>
    <xf numFmtId="0" fontId="2" fillId="0" borderId="0" xfId="0" applyFont="1" applyBorder="1" applyAlignment="1">
      <alignment horizontal="center" vertical="center"/>
    </xf>
    <xf numFmtId="178" fontId="6" fillId="0" borderId="9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7" fillId="3" borderId="1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12" fillId="0" borderId="15" xfId="0" applyNumberFormat="1" applyFont="1" applyBorder="1" applyAlignment="1">
      <alignment horizontal="center" vertical="center"/>
    </xf>
    <xf numFmtId="49" fontId="12" fillId="0" borderId="6" xfId="0" applyNumberFormat="1" applyFont="1" applyBorder="1" applyAlignment="1">
      <alignment horizontal="left" vertical="top" wrapText="1"/>
    </xf>
    <xf numFmtId="0" fontId="12" fillId="0" borderId="1" xfId="0" applyNumberFormat="1" applyFont="1" applyBorder="1" applyAlignment="1">
      <alignment horizontal="center" vertical="center"/>
    </xf>
    <xf numFmtId="0" fontId="12" fillId="0" borderId="2" xfId="0" applyNumberFormat="1" applyFont="1" applyBorder="1" applyAlignment="1">
      <alignment horizontal="center" vertical="center"/>
    </xf>
    <xf numFmtId="0" fontId="12" fillId="0" borderId="16" xfId="0" applyNumberFormat="1" applyFont="1" applyBorder="1" applyAlignment="1">
      <alignment horizontal="center" vertical="center"/>
    </xf>
    <xf numFmtId="0" fontId="12" fillId="0" borderId="12" xfId="0" applyNumberFormat="1" applyFont="1" applyBorder="1" applyAlignment="1">
      <alignment horizontal="center" vertical="center"/>
    </xf>
    <xf numFmtId="0" fontId="12" fillId="0" borderId="9" xfId="0" applyNumberFormat="1" applyFont="1" applyBorder="1" applyAlignment="1">
      <alignment horizontal="center" vertical="center"/>
    </xf>
    <xf numFmtId="0" fontId="12" fillId="0" borderId="17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99"/>
  <sheetViews>
    <sheetView tabSelected="1" topLeftCell="A24" zoomScale="150" zoomScaleNormal="150" workbookViewId="0">
      <selection activeCell="G19" sqref="G19:W39"/>
    </sheetView>
  </sheetViews>
  <sheetFormatPr defaultColWidth="2.625" defaultRowHeight="14.1" customHeight="1" x14ac:dyDescent="0.15"/>
  <cols>
    <col min="1" max="1" width="2.875" style="2"/>
    <col min="2" max="20" width="2.625" style="2"/>
    <col min="21" max="21" width="2.625" style="2" customWidth="1"/>
    <col min="22" max="22" width="4.625" style="2" customWidth="1"/>
    <col min="23" max="31" width="3.125" style="2" customWidth="1"/>
    <col min="32" max="32" width="2.875" style="2" customWidth="1"/>
    <col min="33" max="16384" width="2.625" style="2"/>
  </cols>
  <sheetData>
    <row r="1" spans="1:68" ht="26.1" customHeight="1" x14ac:dyDescent="0.15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8"/>
      <c r="AH1" s="18"/>
      <c r="AI1" s="18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</row>
    <row r="2" spans="1:68" ht="12.95" customHeight="1" x14ac:dyDescent="0.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21">
        <f ca="1">TODAY()</f>
        <v>44165</v>
      </c>
      <c r="AC2" s="121"/>
      <c r="AD2" s="121"/>
      <c r="AE2" s="121"/>
      <c r="AF2" s="121"/>
      <c r="AG2" s="18"/>
      <c r="AH2" s="18"/>
      <c r="AI2" s="18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</row>
    <row r="3" spans="1:68" ht="11.1" customHeight="1" x14ac:dyDescent="0.15">
      <c r="A3" s="122" t="s">
        <v>1</v>
      </c>
      <c r="B3" s="123"/>
      <c r="C3" s="123"/>
      <c r="D3" s="123"/>
      <c r="E3" s="123"/>
      <c r="F3" s="123"/>
      <c r="G3" s="123"/>
      <c r="H3" s="123"/>
      <c r="I3" s="124" t="s">
        <v>2</v>
      </c>
      <c r="J3" s="108"/>
      <c r="K3" s="108"/>
      <c r="L3" s="125"/>
      <c r="M3" s="124" t="s">
        <v>3</v>
      </c>
      <c r="N3" s="108"/>
      <c r="O3" s="108"/>
      <c r="P3" s="108"/>
      <c r="Q3" s="108"/>
      <c r="R3" s="108"/>
      <c r="S3" s="108"/>
      <c r="T3" s="108"/>
      <c r="U3" s="112" t="s">
        <v>4</v>
      </c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9"/>
      <c r="AH3" s="19"/>
      <c r="AI3" s="19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</row>
    <row r="4" spans="1:68" ht="18" customHeight="1" x14ac:dyDescent="0.15">
      <c r="A4" s="126" t="s">
        <v>5</v>
      </c>
      <c r="B4" s="114"/>
      <c r="C4" s="114"/>
      <c r="D4" s="114"/>
      <c r="E4" s="114"/>
      <c r="F4" s="114"/>
      <c r="G4" s="114"/>
      <c r="H4" s="114"/>
      <c r="I4" s="127" t="s">
        <v>6</v>
      </c>
      <c r="J4" s="114"/>
      <c r="K4" s="114"/>
      <c r="L4" s="128"/>
      <c r="M4" s="127" t="s">
        <v>7</v>
      </c>
      <c r="N4" s="114"/>
      <c r="O4" s="114"/>
      <c r="P4" s="114"/>
      <c r="Q4" s="114"/>
      <c r="R4" s="114"/>
      <c r="S4" s="114"/>
      <c r="T4" s="114"/>
      <c r="U4" s="129" t="s">
        <v>60</v>
      </c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20"/>
      <c r="AH4" s="20"/>
      <c r="AI4" s="20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</row>
    <row r="5" spans="1:68" ht="12" customHeight="1" x14ac:dyDescent="0.15">
      <c r="A5" s="107" t="s">
        <v>8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9" t="s">
        <v>9</v>
      </c>
      <c r="N5" s="110"/>
      <c r="O5" s="110"/>
      <c r="P5" s="110"/>
      <c r="Q5" s="110"/>
      <c r="R5" s="110"/>
      <c r="S5" s="110"/>
      <c r="T5" s="111"/>
      <c r="U5" s="112" t="s">
        <v>10</v>
      </c>
      <c r="V5" s="112"/>
      <c r="W5" s="112"/>
      <c r="X5" s="112"/>
      <c r="Y5" s="112"/>
      <c r="Z5" s="112"/>
      <c r="AA5" s="112"/>
      <c r="AB5" s="112" t="s">
        <v>11</v>
      </c>
      <c r="AC5" s="112"/>
      <c r="AD5" s="112"/>
      <c r="AE5" s="112"/>
      <c r="AF5" s="112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</row>
    <row r="6" spans="1:68" ht="18" customHeight="1" x14ac:dyDescent="0.15">
      <c r="A6" s="113" t="s">
        <v>59</v>
      </c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5" t="s">
        <v>12</v>
      </c>
      <c r="N6" s="116"/>
      <c r="O6" s="116"/>
      <c r="P6" s="116"/>
      <c r="Q6" s="116"/>
      <c r="R6" s="116"/>
      <c r="S6" s="116"/>
      <c r="T6" s="117"/>
      <c r="U6" s="80" t="s">
        <v>13</v>
      </c>
      <c r="V6" s="80"/>
      <c r="W6" s="80"/>
      <c r="X6" s="80"/>
      <c r="Y6" s="80"/>
      <c r="Z6" s="80"/>
      <c r="AA6" s="80"/>
      <c r="AB6" s="80" t="s">
        <v>14</v>
      </c>
      <c r="AC6" s="80"/>
      <c r="AD6" s="80"/>
      <c r="AE6" s="80"/>
      <c r="AF6" s="80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</row>
    <row r="7" spans="1:68" ht="11.1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</row>
    <row r="8" spans="1:68" ht="14.1" customHeight="1" x14ac:dyDescent="0.15">
      <c r="A8" s="6" t="s">
        <v>15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</row>
    <row r="9" spans="1:68" ht="14.1" customHeight="1" x14ac:dyDescent="0.15">
      <c r="A9" s="118" t="s">
        <v>57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</row>
    <row r="10" spans="1:68" ht="14.1" customHeight="1" x14ac:dyDescent="0.15">
      <c r="A10" s="130" t="s">
        <v>61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2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</row>
    <row r="11" spans="1:68" ht="14.1" customHeight="1" x14ac:dyDescent="0.15">
      <c r="A11" s="90" t="s">
        <v>16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2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</row>
    <row r="12" spans="1:68" ht="14.1" customHeight="1" x14ac:dyDescent="0.15">
      <c r="A12" s="90" t="s">
        <v>17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2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</row>
    <row r="13" spans="1:68" ht="14.1" customHeight="1" x14ac:dyDescent="0.15">
      <c r="A13" s="93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</row>
    <row r="14" spans="1:68" ht="14.1" customHeight="1" x14ac:dyDescent="0.15">
      <c r="A14" s="7" t="s">
        <v>18</v>
      </c>
      <c r="B14" s="8"/>
      <c r="C14" s="8"/>
      <c r="D14" s="8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</row>
    <row r="15" spans="1:68" ht="14.1" customHeight="1" x14ac:dyDescent="0.15">
      <c r="A15" s="94" t="s">
        <v>19</v>
      </c>
      <c r="B15" s="95"/>
      <c r="C15" s="95"/>
      <c r="D15" s="96"/>
      <c r="E15" s="97" t="s">
        <v>20</v>
      </c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</row>
    <row r="16" spans="1:68" s="1" customFormat="1" ht="11.1" customHeight="1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</row>
    <row r="17" spans="1:69" s="1" customFormat="1" ht="12" customHeight="1" x14ac:dyDescent="0.15">
      <c r="A17" s="99" t="s">
        <v>21</v>
      </c>
      <c r="B17" s="101" t="s">
        <v>22</v>
      </c>
      <c r="C17" s="102"/>
      <c r="D17" s="102"/>
      <c r="E17" s="102"/>
      <c r="F17" s="103"/>
      <c r="G17" s="101" t="s">
        <v>23</v>
      </c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3"/>
      <c r="X17" s="98" t="s">
        <v>24</v>
      </c>
      <c r="Y17" s="98"/>
      <c r="Z17" s="98"/>
      <c r="AA17" s="98"/>
      <c r="AB17" s="98"/>
      <c r="AC17" s="98"/>
      <c r="AD17" s="98"/>
      <c r="AE17" s="98"/>
      <c r="AF17" s="98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</row>
    <row r="18" spans="1:69" s="1" customFormat="1" ht="12" customHeight="1" x14ac:dyDescent="0.15">
      <c r="A18" s="100"/>
      <c r="B18" s="104"/>
      <c r="C18" s="105"/>
      <c r="D18" s="105"/>
      <c r="E18" s="105"/>
      <c r="F18" s="106"/>
      <c r="G18" s="104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6"/>
      <c r="X18" s="98" t="s">
        <v>25</v>
      </c>
      <c r="Y18" s="98"/>
      <c r="Z18" s="98"/>
      <c r="AA18" s="98"/>
      <c r="AB18" s="98" t="s">
        <v>26</v>
      </c>
      <c r="AC18" s="98"/>
      <c r="AD18" s="98"/>
      <c r="AE18" s="98"/>
      <c r="AF18" s="98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</row>
    <row r="19" spans="1:69" s="1" customFormat="1" ht="18" customHeight="1" x14ac:dyDescent="0.15">
      <c r="A19" s="24">
        <v>1</v>
      </c>
      <c r="B19" s="26">
        <v>43679</v>
      </c>
      <c r="C19" s="26"/>
      <c r="D19" s="26"/>
      <c r="E19" s="26"/>
      <c r="F19" s="26"/>
      <c r="G19" s="27" t="s">
        <v>65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30" t="s">
        <v>28</v>
      </c>
      <c r="Y19" s="30" t="s">
        <v>29</v>
      </c>
      <c r="Z19" s="30" t="s">
        <v>30</v>
      </c>
      <c r="AA19" s="30" t="s">
        <v>31</v>
      </c>
      <c r="AB19" s="30" t="s">
        <v>32</v>
      </c>
      <c r="AC19" s="30" t="s">
        <v>33</v>
      </c>
      <c r="AD19" s="30" t="s">
        <v>34</v>
      </c>
      <c r="AE19" s="30" t="s">
        <v>35</v>
      </c>
      <c r="AF19" s="30" t="s">
        <v>36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</row>
    <row r="20" spans="1:69" s="1" customFormat="1" ht="18" customHeight="1" x14ac:dyDescent="0.15">
      <c r="A20" s="25"/>
      <c r="B20" s="33" t="s">
        <v>37</v>
      </c>
      <c r="C20" s="34"/>
      <c r="D20" s="34"/>
      <c r="E20" s="34"/>
      <c r="F20" s="34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31"/>
      <c r="Y20" s="31"/>
      <c r="Z20" s="31"/>
      <c r="AA20" s="31"/>
      <c r="AB20" s="31"/>
      <c r="AC20" s="31"/>
      <c r="AD20" s="31"/>
      <c r="AE20" s="31"/>
      <c r="AF20" s="3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</row>
    <row r="21" spans="1:69" s="1" customFormat="1" ht="23.1" customHeight="1" x14ac:dyDescent="0.15">
      <c r="A21" s="25"/>
      <c r="B21" s="26">
        <v>44196</v>
      </c>
      <c r="C21" s="26"/>
      <c r="D21" s="26"/>
      <c r="E21" s="26"/>
      <c r="F21" s="26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32"/>
      <c r="Y21" s="32"/>
      <c r="Z21" s="32"/>
      <c r="AA21" s="32"/>
      <c r="AB21" s="32"/>
      <c r="AC21" s="32"/>
      <c r="AD21" s="32"/>
      <c r="AE21" s="32"/>
      <c r="AF21" s="3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</row>
    <row r="22" spans="1:69" s="1" customFormat="1" ht="23.1" customHeight="1" x14ac:dyDescent="0.15">
      <c r="A22" s="25"/>
      <c r="B22" s="35" t="str">
        <f>"("&amp;ROUND(DAYS360(B19,B21)/30,0)+0&amp;"ヶ月)"</f>
        <v>(17ヶ月)</v>
      </c>
      <c r="C22" s="36"/>
      <c r="D22" s="36"/>
      <c r="E22" s="36"/>
      <c r="F22" s="37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1"/>
      <c r="Y22" s="11"/>
      <c r="Z22" s="12" t="s">
        <v>38</v>
      </c>
      <c r="AA22" s="12" t="s">
        <v>38</v>
      </c>
      <c r="AB22" s="12" t="s">
        <v>38</v>
      </c>
      <c r="AC22" s="15" t="s">
        <v>38</v>
      </c>
      <c r="AD22" s="15"/>
      <c r="AE22" s="15"/>
      <c r="AF22" s="15" t="s">
        <v>38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</row>
    <row r="23" spans="1:69" s="1" customFormat="1" ht="20.25" customHeight="1" x14ac:dyDescent="0.15">
      <c r="A23" s="25"/>
      <c r="B23" s="35"/>
      <c r="C23" s="36"/>
      <c r="D23" s="36"/>
      <c r="E23" s="36"/>
      <c r="F23" s="37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41" t="s">
        <v>64</v>
      </c>
      <c r="Y23" s="42"/>
      <c r="Z23" s="42"/>
      <c r="AA23" s="43"/>
      <c r="AB23" s="41" t="s">
        <v>62</v>
      </c>
      <c r="AC23" s="42"/>
      <c r="AD23" s="42"/>
      <c r="AE23" s="42"/>
      <c r="AF23" s="43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</row>
    <row r="24" spans="1:69" s="1" customFormat="1" ht="17.25" customHeight="1" x14ac:dyDescent="0.15">
      <c r="A24" s="25"/>
      <c r="B24" s="35"/>
      <c r="C24" s="36"/>
      <c r="D24" s="36"/>
      <c r="E24" s="36"/>
      <c r="F24" s="37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44"/>
      <c r="Y24" s="45"/>
      <c r="Z24" s="45"/>
      <c r="AA24" s="46"/>
      <c r="AB24" s="44"/>
      <c r="AC24" s="45"/>
      <c r="AD24" s="45"/>
      <c r="AE24" s="45"/>
      <c r="AF24" s="46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</row>
    <row r="25" spans="1:69" s="1" customFormat="1" ht="18" customHeight="1" x14ac:dyDescent="0.15">
      <c r="A25" s="25"/>
      <c r="B25" s="35"/>
      <c r="C25" s="36"/>
      <c r="D25" s="36"/>
      <c r="E25" s="36"/>
      <c r="F25" s="3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44"/>
      <c r="Y25" s="45"/>
      <c r="Z25" s="45"/>
      <c r="AA25" s="46"/>
      <c r="AB25" s="44"/>
      <c r="AC25" s="45"/>
      <c r="AD25" s="45"/>
      <c r="AE25" s="45"/>
      <c r="AF25" s="46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</row>
    <row r="26" spans="1:69" s="1" customFormat="1" ht="18" customHeight="1" x14ac:dyDescent="0.15">
      <c r="A26" s="25"/>
      <c r="B26" s="35"/>
      <c r="C26" s="36"/>
      <c r="D26" s="36"/>
      <c r="E26" s="36"/>
      <c r="F26" s="37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44"/>
      <c r="Y26" s="45"/>
      <c r="Z26" s="45"/>
      <c r="AA26" s="46"/>
      <c r="AB26" s="44"/>
      <c r="AC26" s="45"/>
      <c r="AD26" s="45"/>
      <c r="AE26" s="45"/>
      <c r="AF26" s="46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</row>
    <row r="27" spans="1:69" s="1" customFormat="1" ht="18" customHeight="1" x14ac:dyDescent="0.15">
      <c r="A27" s="25"/>
      <c r="B27" s="35"/>
      <c r="C27" s="36"/>
      <c r="D27" s="36"/>
      <c r="E27" s="36"/>
      <c r="F27" s="37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44"/>
      <c r="Y27" s="45"/>
      <c r="Z27" s="45"/>
      <c r="AA27" s="46"/>
      <c r="AB27" s="44"/>
      <c r="AC27" s="45"/>
      <c r="AD27" s="45"/>
      <c r="AE27" s="45"/>
      <c r="AF27" s="46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</row>
    <row r="28" spans="1:69" s="1" customFormat="1" ht="18" customHeight="1" x14ac:dyDescent="0.15">
      <c r="A28" s="25"/>
      <c r="B28" s="35"/>
      <c r="C28" s="36"/>
      <c r="D28" s="36"/>
      <c r="E28" s="36"/>
      <c r="F28" s="37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44"/>
      <c r="Y28" s="45"/>
      <c r="Z28" s="45"/>
      <c r="AA28" s="46"/>
      <c r="AB28" s="44"/>
      <c r="AC28" s="45"/>
      <c r="AD28" s="45"/>
      <c r="AE28" s="45"/>
      <c r="AF28" s="46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</row>
    <row r="29" spans="1:69" s="1" customFormat="1" ht="18" customHeight="1" x14ac:dyDescent="0.15">
      <c r="A29" s="25"/>
      <c r="B29" s="35"/>
      <c r="C29" s="36"/>
      <c r="D29" s="36"/>
      <c r="E29" s="36"/>
      <c r="F29" s="37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44"/>
      <c r="Y29" s="45"/>
      <c r="Z29" s="45"/>
      <c r="AA29" s="46"/>
      <c r="AB29" s="44"/>
      <c r="AC29" s="45"/>
      <c r="AD29" s="45"/>
      <c r="AE29" s="45"/>
      <c r="AF29" s="46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</row>
    <row r="30" spans="1:69" s="1" customFormat="1" ht="18" customHeight="1" x14ac:dyDescent="0.15">
      <c r="A30" s="25"/>
      <c r="B30" s="35"/>
      <c r="C30" s="36"/>
      <c r="D30" s="36"/>
      <c r="E30" s="36"/>
      <c r="F30" s="37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44"/>
      <c r="Y30" s="45"/>
      <c r="Z30" s="45"/>
      <c r="AA30" s="46"/>
      <c r="AB30" s="44"/>
      <c r="AC30" s="45"/>
      <c r="AD30" s="45"/>
      <c r="AE30" s="45"/>
      <c r="AF30" s="46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</row>
    <row r="31" spans="1:69" s="1" customFormat="1" ht="18" customHeight="1" x14ac:dyDescent="0.15">
      <c r="A31" s="25"/>
      <c r="B31" s="35"/>
      <c r="C31" s="36"/>
      <c r="D31" s="36"/>
      <c r="E31" s="36"/>
      <c r="F31" s="37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44"/>
      <c r="Y31" s="45"/>
      <c r="Z31" s="45"/>
      <c r="AA31" s="46"/>
      <c r="AB31" s="44"/>
      <c r="AC31" s="45"/>
      <c r="AD31" s="45"/>
      <c r="AE31" s="45"/>
      <c r="AF31" s="46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</row>
    <row r="32" spans="1:69" s="1" customFormat="1" ht="18" customHeight="1" x14ac:dyDescent="0.15">
      <c r="A32" s="25"/>
      <c r="B32" s="35"/>
      <c r="C32" s="36"/>
      <c r="D32" s="36"/>
      <c r="E32" s="36"/>
      <c r="F32" s="37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44"/>
      <c r="Y32" s="45"/>
      <c r="Z32" s="45"/>
      <c r="AA32" s="46"/>
      <c r="AB32" s="44"/>
      <c r="AC32" s="45"/>
      <c r="AD32" s="45"/>
      <c r="AE32" s="45"/>
      <c r="AF32" s="46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</row>
    <row r="33" spans="1:69" s="1" customFormat="1" ht="18" customHeight="1" x14ac:dyDescent="0.15">
      <c r="A33" s="25"/>
      <c r="B33" s="35"/>
      <c r="C33" s="36"/>
      <c r="D33" s="36"/>
      <c r="E33" s="36"/>
      <c r="F33" s="37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44"/>
      <c r="Y33" s="45"/>
      <c r="Z33" s="45"/>
      <c r="AA33" s="46"/>
      <c r="AB33" s="44"/>
      <c r="AC33" s="45"/>
      <c r="AD33" s="45"/>
      <c r="AE33" s="45"/>
      <c r="AF33" s="46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</row>
    <row r="34" spans="1:69" s="1" customFormat="1" ht="18" customHeight="1" x14ac:dyDescent="0.15">
      <c r="A34" s="25"/>
      <c r="B34" s="35"/>
      <c r="C34" s="36"/>
      <c r="D34" s="36"/>
      <c r="E34" s="36"/>
      <c r="F34" s="37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44"/>
      <c r="Y34" s="45"/>
      <c r="Z34" s="45"/>
      <c r="AA34" s="46"/>
      <c r="AB34" s="44"/>
      <c r="AC34" s="45"/>
      <c r="AD34" s="45"/>
      <c r="AE34" s="45"/>
      <c r="AF34" s="46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</row>
    <row r="35" spans="1:69" s="1" customFormat="1" ht="18" customHeight="1" x14ac:dyDescent="0.15">
      <c r="A35" s="25"/>
      <c r="B35" s="35"/>
      <c r="C35" s="36"/>
      <c r="D35" s="36"/>
      <c r="E35" s="36"/>
      <c r="F35" s="37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44"/>
      <c r="Y35" s="45"/>
      <c r="Z35" s="45"/>
      <c r="AA35" s="46"/>
      <c r="AB35" s="44"/>
      <c r="AC35" s="45"/>
      <c r="AD35" s="45"/>
      <c r="AE35" s="45"/>
      <c r="AF35" s="46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</row>
    <row r="36" spans="1:69" s="1" customFormat="1" ht="18" customHeight="1" x14ac:dyDescent="0.15">
      <c r="A36" s="25"/>
      <c r="B36" s="38"/>
      <c r="C36" s="39"/>
      <c r="D36" s="39"/>
      <c r="E36" s="39"/>
      <c r="F36" s="40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44"/>
      <c r="Y36" s="45"/>
      <c r="Z36" s="45"/>
      <c r="AA36" s="46"/>
      <c r="AB36" s="44"/>
      <c r="AC36" s="45"/>
      <c r="AD36" s="45"/>
      <c r="AE36" s="45"/>
      <c r="AF36" s="46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</row>
    <row r="37" spans="1:69" s="1" customFormat="1" ht="14.25" customHeight="1" x14ac:dyDescent="0.15">
      <c r="A37" s="25"/>
      <c r="B37" s="131" t="s">
        <v>63</v>
      </c>
      <c r="C37" s="132"/>
      <c r="D37" s="132"/>
      <c r="E37" s="132"/>
      <c r="F37" s="133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44"/>
      <c r="Y37" s="45"/>
      <c r="Z37" s="45"/>
      <c r="AA37" s="46"/>
      <c r="AB37" s="44"/>
      <c r="AC37" s="45"/>
      <c r="AD37" s="45"/>
      <c r="AE37" s="45"/>
      <c r="AF37" s="46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</row>
    <row r="38" spans="1:69" s="1" customFormat="1" ht="14.25" customHeight="1" x14ac:dyDescent="0.15">
      <c r="A38" s="25"/>
      <c r="B38" s="134"/>
      <c r="C38" s="135"/>
      <c r="D38" s="135"/>
      <c r="E38" s="135"/>
      <c r="F38" s="136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44"/>
      <c r="Y38" s="45"/>
      <c r="Z38" s="45"/>
      <c r="AA38" s="46"/>
      <c r="AB38" s="44"/>
      <c r="AC38" s="45"/>
      <c r="AD38" s="45"/>
      <c r="AE38" s="45"/>
      <c r="AF38" s="46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</row>
    <row r="39" spans="1:69" s="1" customFormat="1" ht="14.25" customHeight="1" x14ac:dyDescent="0.15">
      <c r="A39" s="25"/>
      <c r="B39" s="52" t="s">
        <v>42</v>
      </c>
      <c r="C39" s="52"/>
      <c r="D39" s="52"/>
      <c r="E39" s="52"/>
      <c r="F39" s="52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47"/>
      <c r="Y39" s="48"/>
      <c r="Z39" s="48"/>
      <c r="AA39" s="49"/>
      <c r="AB39" s="47"/>
      <c r="AC39" s="48"/>
      <c r="AD39" s="48"/>
      <c r="AE39" s="48"/>
      <c r="AF39" s="49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</row>
    <row r="40" spans="1:69" s="1" customFormat="1" ht="18" customHeight="1" x14ac:dyDescent="0.15">
      <c r="A40" s="24">
        <v>2</v>
      </c>
      <c r="B40" s="26">
        <v>43556</v>
      </c>
      <c r="C40" s="26"/>
      <c r="D40" s="26"/>
      <c r="E40" s="26"/>
      <c r="F40" s="26"/>
      <c r="G40" s="70" t="s">
        <v>27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30" t="s">
        <v>28</v>
      </c>
      <c r="Y40" s="30" t="s">
        <v>29</v>
      </c>
      <c r="Z40" s="30" t="s">
        <v>30</v>
      </c>
      <c r="AA40" s="30" t="s">
        <v>31</v>
      </c>
      <c r="AB40" s="30" t="s">
        <v>32</v>
      </c>
      <c r="AC40" s="30" t="s">
        <v>33</v>
      </c>
      <c r="AD40" s="30" t="s">
        <v>34</v>
      </c>
      <c r="AE40" s="30" t="s">
        <v>35</v>
      </c>
      <c r="AF40" s="30" t="s">
        <v>36</v>
      </c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</row>
    <row r="41" spans="1:69" s="1" customFormat="1" ht="18" customHeight="1" x14ac:dyDescent="0.15">
      <c r="A41" s="25"/>
      <c r="B41" s="33" t="s">
        <v>37</v>
      </c>
      <c r="C41" s="34"/>
      <c r="D41" s="34"/>
      <c r="E41" s="34"/>
      <c r="F41" s="34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31"/>
      <c r="Y41" s="31"/>
      <c r="Z41" s="31"/>
      <c r="AA41" s="31"/>
      <c r="AB41" s="31"/>
      <c r="AC41" s="31"/>
      <c r="AD41" s="31"/>
      <c r="AE41" s="31"/>
      <c r="AF41" s="3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</row>
    <row r="42" spans="1:69" s="1" customFormat="1" ht="23.1" customHeight="1" x14ac:dyDescent="0.15">
      <c r="A42" s="25"/>
      <c r="B42" s="26">
        <v>43646</v>
      </c>
      <c r="C42" s="26"/>
      <c r="D42" s="26"/>
      <c r="E42" s="26"/>
      <c r="F42" s="26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32"/>
      <c r="Y42" s="32"/>
      <c r="Z42" s="32"/>
      <c r="AA42" s="32"/>
      <c r="AB42" s="32"/>
      <c r="AC42" s="32"/>
      <c r="AD42" s="32"/>
      <c r="AE42" s="32"/>
      <c r="AF42" s="3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</row>
    <row r="43" spans="1:69" s="1" customFormat="1" ht="23.1" customHeight="1" x14ac:dyDescent="0.15">
      <c r="A43" s="25"/>
      <c r="B43" s="35" t="str">
        <f>"("&amp;ROUND(DAYS360(B40,B42)/30,0)+0&amp;"ヶ月)"</f>
        <v>(3ヶ月)</v>
      </c>
      <c r="C43" s="36"/>
      <c r="D43" s="36"/>
      <c r="E43" s="36"/>
      <c r="F43" s="37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11"/>
      <c r="Y43" s="11"/>
      <c r="Z43" s="12" t="s">
        <v>38</v>
      </c>
      <c r="AA43" s="12" t="s">
        <v>38</v>
      </c>
      <c r="AB43" s="12" t="s">
        <v>38</v>
      </c>
      <c r="AC43" s="15" t="s">
        <v>38</v>
      </c>
      <c r="AD43" s="15" t="s">
        <v>38</v>
      </c>
      <c r="AE43" s="15" t="s">
        <v>38</v>
      </c>
      <c r="AF43" s="16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</row>
    <row r="44" spans="1:69" s="1" customFormat="1" ht="171" customHeight="1" x14ac:dyDescent="0.15">
      <c r="A44" s="25"/>
      <c r="B44" s="35"/>
      <c r="C44" s="36"/>
      <c r="D44" s="36"/>
      <c r="E44" s="36"/>
      <c r="F44" s="37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54" t="s">
        <v>39</v>
      </c>
      <c r="Y44" s="42"/>
      <c r="Z44" s="42"/>
      <c r="AA44" s="43"/>
      <c r="AB44" s="54" t="s">
        <v>40</v>
      </c>
      <c r="AC44" s="42"/>
      <c r="AD44" s="42"/>
      <c r="AE44" s="42"/>
      <c r="AF44" s="43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</row>
    <row r="45" spans="1:69" s="1" customFormat="1" ht="6" customHeight="1" x14ac:dyDescent="0.15">
      <c r="A45" s="25"/>
      <c r="B45" s="38"/>
      <c r="C45" s="39"/>
      <c r="D45" s="39"/>
      <c r="E45" s="39"/>
      <c r="F45" s="40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44"/>
      <c r="Y45" s="45"/>
      <c r="Z45" s="45"/>
      <c r="AA45" s="46"/>
      <c r="AB45" s="44"/>
      <c r="AC45" s="45"/>
      <c r="AD45" s="45"/>
      <c r="AE45" s="45"/>
      <c r="AF45" s="46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</row>
    <row r="46" spans="1:69" s="1" customFormat="1" ht="18" customHeight="1" x14ac:dyDescent="0.15">
      <c r="A46" s="25"/>
      <c r="B46" s="88" t="s">
        <v>41</v>
      </c>
      <c r="C46" s="50"/>
      <c r="D46" s="50"/>
      <c r="E46" s="50"/>
      <c r="F46" s="51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44"/>
      <c r="Y46" s="45"/>
      <c r="Z46" s="45"/>
      <c r="AA46" s="46"/>
      <c r="AB46" s="44"/>
      <c r="AC46" s="45"/>
      <c r="AD46" s="45"/>
      <c r="AE46" s="45"/>
      <c r="AF46" s="46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</row>
    <row r="47" spans="1:69" s="1" customFormat="1" ht="32.1" customHeight="1" x14ac:dyDescent="0.15">
      <c r="A47" s="25"/>
      <c r="B47" s="52" t="s">
        <v>42</v>
      </c>
      <c r="C47" s="52"/>
      <c r="D47" s="52"/>
      <c r="E47" s="52"/>
      <c r="F47" s="52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47"/>
      <c r="Y47" s="48"/>
      <c r="Z47" s="48"/>
      <c r="AA47" s="49"/>
      <c r="AB47" s="47"/>
      <c r="AC47" s="48"/>
      <c r="AD47" s="48"/>
      <c r="AE47" s="48"/>
      <c r="AF47" s="49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</row>
    <row r="48" spans="1:69" ht="18" customHeight="1" x14ac:dyDescent="0.15">
      <c r="A48" s="56">
        <f>A40+1</f>
        <v>3</v>
      </c>
      <c r="B48" s="26">
        <v>43497</v>
      </c>
      <c r="C48" s="26"/>
      <c r="D48" s="26"/>
      <c r="E48" s="26"/>
      <c r="F48" s="26"/>
      <c r="G48" s="27" t="s">
        <v>66</v>
      </c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30" t="s">
        <v>28</v>
      </c>
      <c r="Y48" s="30" t="s">
        <v>29</v>
      </c>
      <c r="Z48" s="30" t="s">
        <v>30</v>
      </c>
      <c r="AA48" s="30" t="s">
        <v>31</v>
      </c>
      <c r="AB48" s="30" t="s">
        <v>32</v>
      </c>
      <c r="AC48" s="30" t="s">
        <v>33</v>
      </c>
      <c r="AD48" s="30" t="s">
        <v>34</v>
      </c>
      <c r="AE48" s="30" t="s">
        <v>35</v>
      </c>
      <c r="AF48" s="30" t="s">
        <v>36</v>
      </c>
    </row>
    <row r="49" spans="1:32" ht="18" customHeight="1" x14ac:dyDescent="0.15">
      <c r="A49" s="57"/>
      <c r="B49" s="89" t="s">
        <v>37</v>
      </c>
      <c r="C49" s="89"/>
      <c r="D49" s="89"/>
      <c r="E49" s="89"/>
      <c r="F49" s="8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ht="18" customHeight="1" x14ac:dyDescent="0.15">
      <c r="A50" s="57"/>
      <c r="B50" s="26">
        <v>43554</v>
      </c>
      <c r="C50" s="26"/>
      <c r="D50" s="26"/>
      <c r="E50" s="26"/>
      <c r="F50" s="26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32"/>
      <c r="Y50" s="32"/>
      <c r="Z50" s="32"/>
      <c r="AA50" s="32"/>
      <c r="AB50" s="32"/>
      <c r="AC50" s="32"/>
      <c r="AD50" s="32"/>
      <c r="AE50" s="32"/>
      <c r="AF50" s="31"/>
    </row>
    <row r="51" spans="1:32" ht="18" customHeight="1" x14ac:dyDescent="0.15">
      <c r="A51" s="57"/>
      <c r="B51" s="71" t="str">
        <f>"("&amp;ROUND(DAYS360(B48,B50)/30,0)+0&amp;"ヶ月)"</f>
        <v>(2ヶ月)</v>
      </c>
      <c r="C51" s="72"/>
      <c r="D51" s="72"/>
      <c r="E51" s="72"/>
      <c r="F51" s="73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11"/>
      <c r="Y51" s="11"/>
      <c r="Z51" s="12" t="s">
        <v>38</v>
      </c>
      <c r="AA51" s="12" t="s">
        <v>38</v>
      </c>
      <c r="AB51" s="13"/>
      <c r="AC51" s="15" t="s">
        <v>38</v>
      </c>
      <c r="AD51" s="15" t="s">
        <v>38</v>
      </c>
      <c r="AE51" s="15" t="s">
        <v>38</v>
      </c>
      <c r="AF51" s="17"/>
    </row>
    <row r="52" spans="1:32" ht="15.95" customHeight="1" x14ac:dyDescent="0.15">
      <c r="A52" s="57"/>
      <c r="B52" s="71"/>
      <c r="C52" s="72"/>
      <c r="D52" s="72"/>
      <c r="E52" s="72"/>
      <c r="F52" s="73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54" t="s">
        <v>43</v>
      </c>
      <c r="Y52" s="42"/>
      <c r="Z52" s="42"/>
      <c r="AA52" s="43"/>
      <c r="AB52" s="54" t="s">
        <v>44</v>
      </c>
      <c r="AC52" s="42"/>
      <c r="AD52" s="42"/>
      <c r="AE52" s="42"/>
      <c r="AF52" s="43"/>
    </row>
    <row r="53" spans="1:32" ht="132.94999999999999" customHeight="1" x14ac:dyDescent="0.15">
      <c r="A53" s="57"/>
      <c r="B53" s="71"/>
      <c r="C53" s="72"/>
      <c r="D53" s="72"/>
      <c r="E53" s="72"/>
      <c r="F53" s="73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44"/>
      <c r="Y53" s="45"/>
      <c r="Z53" s="45"/>
      <c r="AA53" s="46"/>
      <c r="AB53" s="44"/>
      <c r="AC53" s="45"/>
      <c r="AD53" s="45"/>
      <c r="AE53" s="45"/>
      <c r="AF53" s="46"/>
    </row>
    <row r="54" spans="1:32" ht="15.95" customHeight="1" x14ac:dyDescent="0.15">
      <c r="A54" s="57"/>
      <c r="B54" s="77" t="s">
        <v>41</v>
      </c>
      <c r="C54" s="78"/>
      <c r="D54" s="78"/>
      <c r="E54" s="78"/>
      <c r="F54" s="7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44"/>
      <c r="Y54" s="45"/>
      <c r="Z54" s="45"/>
      <c r="AA54" s="46"/>
      <c r="AB54" s="44"/>
      <c r="AC54" s="45"/>
      <c r="AD54" s="45"/>
      <c r="AE54" s="45"/>
      <c r="AF54" s="46"/>
    </row>
    <row r="55" spans="1:32" ht="14.25" x14ac:dyDescent="0.15">
      <c r="A55" s="58"/>
      <c r="B55" s="80" t="s">
        <v>42</v>
      </c>
      <c r="C55" s="80"/>
      <c r="D55" s="80"/>
      <c r="E55" s="80"/>
      <c r="F55" s="80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47"/>
      <c r="Y55" s="48"/>
      <c r="Z55" s="48"/>
      <c r="AA55" s="49"/>
      <c r="AB55" s="47"/>
      <c r="AC55" s="48"/>
      <c r="AD55" s="48"/>
      <c r="AE55" s="48"/>
      <c r="AF55" s="49"/>
    </row>
    <row r="56" spans="1:32" ht="21.95" customHeight="1" x14ac:dyDescent="0.15">
      <c r="A56" s="56">
        <f>A48+1</f>
        <v>4</v>
      </c>
      <c r="B56" s="26">
        <v>43344</v>
      </c>
      <c r="C56" s="26"/>
      <c r="D56" s="26"/>
      <c r="E56" s="26"/>
      <c r="F56" s="26"/>
      <c r="G56" s="61" t="s">
        <v>45</v>
      </c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3"/>
      <c r="X56" s="30" t="s">
        <v>28</v>
      </c>
      <c r="Y56" s="30" t="s">
        <v>29</v>
      </c>
      <c r="Z56" s="30" t="s">
        <v>30</v>
      </c>
      <c r="AA56" s="30" t="s">
        <v>31</v>
      </c>
      <c r="AB56" s="30" t="s">
        <v>32</v>
      </c>
      <c r="AC56" s="30" t="s">
        <v>33</v>
      </c>
      <c r="AD56" s="30" t="s">
        <v>34</v>
      </c>
      <c r="AE56" s="30" t="s">
        <v>35</v>
      </c>
      <c r="AF56" s="53" t="s">
        <v>36</v>
      </c>
    </row>
    <row r="57" spans="1:32" ht="21" customHeight="1" x14ac:dyDescent="0.15">
      <c r="A57" s="59"/>
      <c r="B57" s="81" t="s">
        <v>37</v>
      </c>
      <c r="C57" s="82"/>
      <c r="D57" s="82"/>
      <c r="E57" s="82"/>
      <c r="F57" s="83"/>
      <c r="G57" s="64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6"/>
      <c r="X57" s="31"/>
      <c r="Y57" s="31"/>
      <c r="Z57" s="31"/>
      <c r="AA57" s="31"/>
      <c r="AB57" s="31"/>
      <c r="AC57" s="31"/>
      <c r="AD57" s="31"/>
      <c r="AE57" s="31"/>
      <c r="AF57" s="53"/>
    </row>
    <row r="58" spans="1:32" ht="26.1" customHeight="1" x14ac:dyDescent="0.15">
      <c r="A58" s="59"/>
      <c r="B58" s="26">
        <v>43466</v>
      </c>
      <c r="C58" s="26"/>
      <c r="D58" s="26"/>
      <c r="E58" s="26"/>
      <c r="F58" s="26"/>
      <c r="G58" s="64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6"/>
      <c r="X58" s="32"/>
      <c r="Y58" s="32"/>
      <c r="Z58" s="32"/>
      <c r="AA58" s="32"/>
      <c r="AB58" s="32"/>
      <c r="AC58" s="32"/>
      <c r="AD58" s="32"/>
      <c r="AE58" s="32"/>
      <c r="AF58" s="53"/>
    </row>
    <row r="59" spans="1:32" ht="21" customHeight="1" x14ac:dyDescent="0.15">
      <c r="A59" s="59"/>
      <c r="B59" s="71" t="str">
        <f>"("&amp;ROUND(DAYS360(B56,B58)/30,0)+0&amp;"ヶ月)"</f>
        <v>(4ヶ月)</v>
      </c>
      <c r="C59" s="72"/>
      <c r="D59" s="72"/>
      <c r="E59" s="72"/>
      <c r="F59" s="73"/>
      <c r="G59" s="64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6"/>
      <c r="X59" s="11"/>
      <c r="Y59" s="11"/>
      <c r="Z59" s="12" t="s">
        <v>38</v>
      </c>
      <c r="AA59" s="12" t="s">
        <v>38</v>
      </c>
      <c r="AB59" s="13"/>
      <c r="AC59" s="15" t="s">
        <v>38</v>
      </c>
      <c r="AD59" s="15" t="s">
        <v>38</v>
      </c>
      <c r="AE59" s="15" t="s">
        <v>38</v>
      </c>
      <c r="AF59" s="17"/>
    </row>
    <row r="60" spans="1:32" ht="38.1" customHeight="1" x14ac:dyDescent="0.15">
      <c r="A60" s="59"/>
      <c r="B60" s="71"/>
      <c r="C60" s="72"/>
      <c r="D60" s="72"/>
      <c r="E60" s="72"/>
      <c r="F60" s="73"/>
      <c r="G60" s="64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6"/>
      <c r="X60" s="54" t="s">
        <v>46</v>
      </c>
      <c r="Y60" s="42"/>
      <c r="Z60" s="42"/>
      <c r="AA60" s="43"/>
      <c r="AB60" s="54" t="s">
        <v>44</v>
      </c>
      <c r="AC60" s="42"/>
      <c r="AD60" s="42"/>
      <c r="AE60" s="42"/>
      <c r="AF60" s="43"/>
    </row>
    <row r="61" spans="1:32" ht="105" customHeight="1" x14ac:dyDescent="0.15">
      <c r="A61" s="59"/>
      <c r="B61" s="71"/>
      <c r="C61" s="72"/>
      <c r="D61" s="72"/>
      <c r="E61" s="72"/>
      <c r="F61" s="73"/>
      <c r="G61" s="64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6"/>
      <c r="X61" s="44"/>
      <c r="Y61" s="45"/>
      <c r="Z61" s="45"/>
      <c r="AA61" s="46"/>
      <c r="AB61" s="44"/>
      <c r="AC61" s="45"/>
      <c r="AD61" s="45"/>
      <c r="AE61" s="45"/>
      <c r="AF61" s="46"/>
    </row>
    <row r="62" spans="1:32" ht="18" customHeight="1" x14ac:dyDescent="0.15">
      <c r="A62" s="59"/>
      <c r="B62" s="77" t="s">
        <v>41</v>
      </c>
      <c r="C62" s="78"/>
      <c r="D62" s="78"/>
      <c r="E62" s="78"/>
      <c r="F62" s="79"/>
      <c r="G62" s="64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6"/>
      <c r="X62" s="44"/>
      <c r="Y62" s="45"/>
      <c r="Z62" s="45"/>
      <c r="AA62" s="46"/>
      <c r="AB62" s="44"/>
      <c r="AC62" s="45"/>
      <c r="AD62" s="45"/>
      <c r="AE62" s="45"/>
      <c r="AF62" s="46"/>
    </row>
    <row r="63" spans="1:32" ht="18" customHeight="1" x14ac:dyDescent="0.15">
      <c r="A63" s="60"/>
      <c r="B63" s="77" t="s">
        <v>42</v>
      </c>
      <c r="C63" s="78"/>
      <c r="D63" s="78"/>
      <c r="E63" s="78"/>
      <c r="F63" s="79"/>
      <c r="G63" s="67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9"/>
      <c r="X63" s="47"/>
      <c r="Y63" s="48"/>
      <c r="Z63" s="48"/>
      <c r="AA63" s="49"/>
      <c r="AB63" s="47"/>
      <c r="AC63" s="48"/>
      <c r="AD63" s="48"/>
      <c r="AE63" s="48"/>
      <c r="AF63" s="49"/>
    </row>
    <row r="64" spans="1:32" ht="24" customHeight="1" x14ac:dyDescent="0.15">
      <c r="A64" s="56">
        <f>A56+1</f>
        <v>5</v>
      </c>
      <c r="B64" s="26">
        <v>43252</v>
      </c>
      <c r="C64" s="26"/>
      <c r="D64" s="26"/>
      <c r="E64" s="26"/>
      <c r="F64" s="26"/>
      <c r="G64" s="61" t="s">
        <v>47</v>
      </c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3"/>
      <c r="X64" s="30" t="s">
        <v>28</v>
      </c>
      <c r="Y64" s="30" t="s">
        <v>29</v>
      </c>
      <c r="Z64" s="30" t="s">
        <v>30</v>
      </c>
      <c r="AA64" s="30" t="s">
        <v>31</v>
      </c>
      <c r="AB64" s="30" t="s">
        <v>32</v>
      </c>
      <c r="AC64" s="30" t="s">
        <v>33</v>
      </c>
      <c r="AD64" s="30" t="s">
        <v>34</v>
      </c>
      <c r="AE64" s="30" t="s">
        <v>35</v>
      </c>
      <c r="AF64" s="53" t="s">
        <v>36</v>
      </c>
    </row>
    <row r="65" spans="1:32" ht="23.1" customHeight="1" x14ac:dyDescent="0.15">
      <c r="A65" s="59"/>
      <c r="B65" s="81" t="s">
        <v>37</v>
      </c>
      <c r="C65" s="82"/>
      <c r="D65" s="82"/>
      <c r="E65" s="82"/>
      <c r="F65" s="83"/>
      <c r="G65" s="64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6"/>
      <c r="X65" s="31"/>
      <c r="Y65" s="31"/>
      <c r="Z65" s="31"/>
      <c r="AA65" s="31"/>
      <c r="AB65" s="31"/>
      <c r="AC65" s="31"/>
      <c r="AD65" s="31"/>
      <c r="AE65" s="31"/>
      <c r="AF65" s="53"/>
    </row>
    <row r="66" spans="1:32" ht="24.95" customHeight="1" x14ac:dyDescent="0.15">
      <c r="A66" s="59"/>
      <c r="B66" s="26">
        <v>43344</v>
      </c>
      <c r="C66" s="26"/>
      <c r="D66" s="26"/>
      <c r="E66" s="26"/>
      <c r="F66" s="26"/>
      <c r="G66" s="64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6"/>
      <c r="X66" s="32"/>
      <c r="Y66" s="32"/>
      <c r="Z66" s="32"/>
      <c r="AA66" s="32"/>
      <c r="AB66" s="32"/>
      <c r="AC66" s="32"/>
      <c r="AD66" s="32"/>
      <c r="AE66" s="32"/>
      <c r="AF66" s="53"/>
    </row>
    <row r="67" spans="1:32" ht="18" customHeight="1" x14ac:dyDescent="0.15">
      <c r="A67" s="59"/>
      <c r="B67" s="71" t="str">
        <f>"("&amp;ROUND(DAYS360(B64,B66)/30,0)+0&amp;"ヶ月)"</f>
        <v>(3ヶ月)</v>
      </c>
      <c r="C67" s="72"/>
      <c r="D67" s="72"/>
      <c r="E67" s="72"/>
      <c r="F67" s="73"/>
      <c r="G67" s="64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6"/>
      <c r="X67" s="11"/>
      <c r="Y67" s="11"/>
      <c r="Z67" s="12" t="s">
        <v>38</v>
      </c>
      <c r="AA67" s="12" t="s">
        <v>38</v>
      </c>
      <c r="AB67" s="13"/>
      <c r="AC67" s="15" t="s">
        <v>38</v>
      </c>
      <c r="AD67" s="15" t="s">
        <v>38</v>
      </c>
      <c r="AE67" s="15" t="s">
        <v>38</v>
      </c>
      <c r="AF67" s="17"/>
    </row>
    <row r="68" spans="1:32" ht="15.95" customHeight="1" x14ac:dyDescent="0.15">
      <c r="A68" s="59"/>
      <c r="B68" s="71"/>
      <c r="C68" s="72"/>
      <c r="D68" s="72"/>
      <c r="E68" s="72"/>
      <c r="F68" s="73"/>
      <c r="G68" s="64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6"/>
      <c r="X68" s="54" t="s">
        <v>46</v>
      </c>
      <c r="Y68" s="42"/>
      <c r="Z68" s="42"/>
      <c r="AA68" s="43"/>
      <c r="AB68" s="55" t="s">
        <v>44</v>
      </c>
      <c r="AC68" s="55"/>
      <c r="AD68" s="55"/>
      <c r="AE68" s="55"/>
      <c r="AF68" s="55"/>
    </row>
    <row r="69" spans="1:32" ht="122.1" customHeight="1" x14ac:dyDescent="0.15">
      <c r="A69" s="59"/>
      <c r="B69" s="71"/>
      <c r="C69" s="72"/>
      <c r="D69" s="72"/>
      <c r="E69" s="72"/>
      <c r="F69" s="73"/>
      <c r="G69" s="64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6"/>
      <c r="X69" s="44"/>
      <c r="Y69" s="45"/>
      <c r="Z69" s="45"/>
      <c r="AA69" s="46"/>
      <c r="AB69" s="55"/>
      <c r="AC69" s="55"/>
      <c r="AD69" s="55"/>
      <c r="AE69" s="55"/>
      <c r="AF69" s="55"/>
    </row>
    <row r="70" spans="1:32" ht="18" customHeight="1" x14ac:dyDescent="0.15">
      <c r="A70" s="59"/>
      <c r="B70" s="85" t="s">
        <v>41</v>
      </c>
      <c r="C70" s="86"/>
      <c r="D70" s="86"/>
      <c r="E70" s="86"/>
      <c r="F70" s="87"/>
      <c r="G70" s="64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6"/>
      <c r="X70" s="44"/>
      <c r="Y70" s="45"/>
      <c r="Z70" s="45"/>
      <c r="AA70" s="46"/>
      <c r="AB70" s="55"/>
      <c r="AC70" s="55"/>
      <c r="AD70" s="55"/>
      <c r="AE70" s="55"/>
      <c r="AF70" s="55"/>
    </row>
    <row r="71" spans="1:32" ht="18" customHeight="1" x14ac:dyDescent="0.15">
      <c r="A71" s="60"/>
      <c r="B71" s="77" t="s">
        <v>42</v>
      </c>
      <c r="C71" s="78"/>
      <c r="D71" s="78"/>
      <c r="E71" s="78"/>
      <c r="F71" s="79"/>
      <c r="G71" s="67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9"/>
      <c r="X71" s="47"/>
      <c r="Y71" s="48"/>
      <c r="Z71" s="48"/>
      <c r="AA71" s="49"/>
      <c r="AB71" s="55"/>
      <c r="AC71" s="55"/>
      <c r="AD71" s="55"/>
      <c r="AE71" s="55"/>
      <c r="AF71" s="55"/>
    </row>
    <row r="72" spans="1:32" ht="23.1" customHeight="1" x14ac:dyDescent="0.15">
      <c r="A72" s="56">
        <f t="shared" ref="A72" si="0">A64+1</f>
        <v>6</v>
      </c>
      <c r="B72" s="26">
        <v>43040</v>
      </c>
      <c r="C72" s="26"/>
      <c r="D72" s="26"/>
      <c r="E72" s="26"/>
      <c r="F72" s="26"/>
      <c r="G72" s="61" t="s">
        <v>48</v>
      </c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3"/>
      <c r="X72" s="30" t="s">
        <v>28</v>
      </c>
      <c r="Y72" s="30" t="s">
        <v>29</v>
      </c>
      <c r="Z72" s="30" t="s">
        <v>30</v>
      </c>
      <c r="AA72" s="30" t="s">
        <v>31</v>
      </c>
      <c r="AB72" s="31" t="s">
        <v>32</v>
      </c>
      <c r="AC72" s="30" t="s">
        <v>33</v>
      </c>
      <c r="AD72" s="30" t="s">
        <v>34</v>
      </c>
      <c r="AE72" s="30" t="s">
        <v>35</v>
      </c>
      <c r="AF72" s="53" t="s">
        <v>36</v>
      </c>
    </row>
    <row r="73" spans="1:32" ht="24.95" customHeight="1" x14ac:dyDescent="0.15">
      <c r="A73" s="59"/>
      <c r="B73" s="81" t="s">
        <v>37</v>
      </c>
      <c r="C73" s="82"/>
      <c r="D73" s="82"/>
      <c r="E73" s="82"/>
      <c r="F73" s="83"/>
      <c r="G73" s="64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6"/>
      <c r="X73" s="31"/>
      <c r="Y73" s="31"/>
      <c r="Z73" s="31"/>
      <c r="AA73" s="31"/>
      <c r="AB73" s="31"/>
      <c r="AC73" s="31"/>
      <c r="AD73" s="31"/>
      <c r="AE73" s="31"/>
      <c r="AF73" s="53"/>
    </row>
    <row r="74" spans="1:32" ht="27" customHeight="1" x14ac:dyDescent="0.15">
      <c r="A74" s="59"/>
      <c r="B74" s="26">
        <v>43132</v>
      </c>
      <c r="C74" s="26"/>
      <c r="D74" s="26"/>
      <c r="E74" s="26"/>
      <c r="F74" s="26"/>
      <c r="G74" s="64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6"/>
      <c r="X74" s="32"/>
      <c r="Y74" s="32"/>
      <c r="Z74" s="32"/>
      <c r="AA74" s="32"/>
      <c r="AB74" s="32"/>
      <c r="AC74" s="32"/>
      <c r="AD74" s="32"/>
      <c r="AE74" s="32"/>
      <c r="AF74" s="53"/>
    </row>
    <row r="75" spans="1:32" ht="21.95" customHeight="1" x14ac:dyDescent="0.15">
      <c r="A75" s="59"/>
      <c r="B75" s="74" t="str">
        <f>"("&amp;ROUND(DAYS360(B72,B74)/30,0)+0&amp;"ヶ月)"</f>
        <v>(3ヶ月)</v>
      </c>
      <c r="C75" s="75"/>
      <c r="D75" s="75"/>
      <c r="E75" s="75"/>
      <c r="F75" s="76"/>
      <c r="G75" s="64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6"/>
      <c r="X75" s="11"/>
      <c r="Y75" s="11"/>
      <c r="Z75" s="12" t="s">
        <v>38</v>
      </c>
      <c r="AA75" s="12" t="s">
        <v>38</v>
      </c>
      <c r="AB75" s="12" t="s">
        <v>38</v>
      </c>
      <c r="AC75" s="15" t="s">
        <v>38</v>
      </c>
      <c r="AD75" s="15" t="s">
        <v>38</v>
      </c>
      <c r="AE75" s="15" t="s">
        <v>38</v>
      </c>
      <c r="AF75" s="17"/>
    </row>
    <row r="76" spans="1:32" ht="15" customHeight="1" x14ac:dyDescent="0.15">
      <c r="A76" s="59"/>
      <c r="B76" s="74"/>
      <c r="C76" s="75"/>
      <c r="D76" s="75"/>
      <c r="E76" s="75"/>
      <c r="F76" s="76"/>
      <c r="G76" s="64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6"/>
      <c r="X76" s="54" t="s">
        <v>49</v>
      </c>
      <c r="Y76" s="42"/>
      <c r="Z76" s="42"/>
      <c r="AA76" s="43"/>
      <c r="AB76" s="54" t="s">
        <v>50</v>
      </c>
      <c r="AC76" s="42"/>
      <c r="AD76" s="42"/>
      <c r="AE76" s="42"/>
      <c r="AF76" s="43"/>
    </row>
    <row r="77" spans="1:32" ht="129.94999999999999" customHeight="1" x14ac:dyDescent="0.15">
      <c r="A77" s="59"/>
      <c r="B77" s="74"/>
      <c r="C77" s="75"/>
      <c r="D77" s="75"/>
      <c r="E77" s="75"/>
      <c r="F77" s="76"/>
      <c r="G77" s="64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6"/>
      <c r="X77" s="44"/>
      <c r="Y77" s="45"/>
      <c r="Z77" s="45"/>
      <c r="AA77" s="46"/>
      <c r="AB77" s="44"/>
      <c r="AC77" s="45"/>
      <c r="AD77" s="45"/>
      <c r="AE77" s="45"/>
      <c r="AF77" s="46"/>
    </row>
    <row r="78" spans="1:32" ht="18" customHeight="1" x14ac:dyDescent="0.15">
      <c r="A78" s="59"/>
      <c r="B78" s="77" t="s">
        <v>41</v>
      </c>
      <c r="C78" s="78"/>
      <c r="D78" s="78"/>
      <c r="E78" s="78"/>
      <c r="F78" s="79"/>
      <c r="G78" s="64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6"/>
      <c r="X78" s="44"/>
      <c r="Y78" s="45"/>
      <c r="Z78" s="45"/>
      <c r="AA78" s="46"/>
      <c r="AB78" s="44"/>
      <c r="AC78" s="45"/>
      <c r="AD78" s="45"/>
      <c r="AE78" s="45"/>
      <c r="AF78" s="46"/>
    </row>
    <row r="79" spans="1:32" ht="18" customHeight="1" x14ac:dyDescent="0.15">
      <c r="A79" s="60"/>
      <c r="B79" s="80" t="s">
        <v>42</v>
      </c>
      <c r="C79" s="80"/>
      <c r="D79" s="80"/>
      <c r="E79" s="80"/>
      <c r="F79" s="80"/>
      <c r="G79" s="67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9"/>
      <c r="X79" s="47"/>
      <c r="Y79" s="48"/>
      <c r="Z79" s="48"/>
      <c r="AA79" s="49"/>
      <c r="AB79" s="47"/>
      <c r="AC79" s="48"/>
      <c r="AD79" s="48"/>
      <c r="AE79" s="48"/>
      <c r="AF79" s="49"/>
    </row>
    <row r="80" spans="1:32" ht="23.1" customHeight="1" x14ac:dyDescent="0.15">
      <c r="A80" s="56">
        <f>A72+1</f>
        <v>7</v>
      </c>
      <c r="B80" s="26">
        <v>42675</v>
      </c>
      <c r="C80" s="26"/>
      <c r="D80" s="26"/>
      <c r="E80" s="26"/>
      <c r="F80" s="26"/>
      <c r="G80" s="61" t="s">
        <v>51</v>
      </c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3"/>
      <c r="X80" s="30" t="s">
        <v>28</v>
      </c>
      <c r="Y80" s="30" t="s">
        <v>29</v>
      </c>
      <c r="Z80" s="30" t="s">
        <v>30</v>
      </c>
      <c r="AA80" s="30" t="s">
        <v>31</v>
      </c>
      <c r="AB80" s="31" t="s">
        <v>32</v>
      </c>
      <c r="AC80" s="30" t="s">
        <v>33</v>
      </c>
      <c r="AD80" s="30" t="s">
        <v>34</v>
      </c>
      <c r="AE80" s="30" t="s">
        <v>35</v>
      </c>
      <c r="AF80" s="53" t="s">
        <v>36</v>
      </c>
    </row>
    <row r="81" spans="1:32" ht="24.95" customHeight="1" x14ac:dyDescent="0.15">
      <c r="A81" s="59"/>
      <c r="B81" s="81" t="s">
        <v>37</v>
      </c>
      <c r="C81" s="82"/>
      <c r="D81" s="82"/>
      <c r="E81" s="82"/>
      <c r="F81" s="83"/>
      <c r="G81" s="64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6"/>
      <c r="X81" s="31"/>
      <c r="Y81" s="31"/>
      <c r="Z81" s="31"/>
      <c r="AA81" s="31"/>
      <c r="AB81" s="31"/>
      <c r="AC81" s="31"/>
      <c r="AD81" s="31"/>
      <c r="AE81" s="31"/>
      <c r="AF81" s="53"/>
    </row>
    <row r="82" spans="1:32" ht="27" customHeight="1" x14ac:dyDescent="0.15">
      <c r="A82" s="59"/>
      <c r="B82" s="26">
        <v>43009</v>
      </c>
      <c r="C82" s="26"/>
      <c r="D82" s="26"/>
      <c r="E82" s="26"/>
      <c r="F82" s="26"/>
      <c r="G82" s="64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6"/>
      <c r="X82" s="32"/>
      <c r="Y82" s="32"/>
      <c r="Z82" s="32"/>
      <c r="AA82" s="32"/>
      <c r="AB82" s="32"/>
      <c r="AC82" s="32"/>
      <c r="AD82" s="32"/>
      <c r="AE82" s="32"/>
      <c r="AF82" s="53"/>
    </row>
    <row r="83" spans="1:32" ht="21.95" customHeight="1" x14ac:dyDescent="0.15">
      <c r="A83" s="59"/>
      <c r="B83" s="74" t="str">
        <f>"("&amp;ROUND(DAYS360(B80,B82)/30,0)+0&amp;"ヶ月)"</f>
        <v>(11ヶ月)</v>
      </c>
      <c r="C83" s="75"/>
      <c r="D83" s="75"/>
      <c r="E83" s="75"/>
      <c r="F83" s="76"/>
      <c r="G83" s="64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6"/>
      <c r="X83" s="11"/>
      <c r="Y83" s="11"/>
      <c r="Z83" s="12" t="s">
        <v>38</v>
      </c>
      <c r="AA83" s="12" t="s">
        <v>38</v>
      </c>
      <c r="AB83" s="13"/>
      <c r="AC83" s="15" t="s">
        <v>38</v>
      </c>
      <c r="AD83" s="15" t="s">
        <v>38</v>
      </c>
      <c r="AE83" s="15" t="s">
        <v>38</v>
      </c>
      <c r="AF83" s="17"/>
    </row>
    <row r="84" spans="1:32" ht="15" customHeight="1" x14ac:dyDescent="0.15">
      <c r="A84" s="59"/>
      <c r="B84" s="74"/>
      <c r="C84" s="75"/>
      <c r="D84" s="75"/>
      <c r="E84" s="75"/>
      <c r="F84" s="76"/>
      <c r="G84" s="64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6"/>
      <c r="X84" s="54" t="s">
        <v>52</v>
      </c>
      <c r="Y84" s="42"/>
      <c r="Z84" s="42"/>
      <c r="AA84" s="43"/>
      <c r="AB84" s="54" t="s">
        <v>50</v>
      </c>
      <c r="AC84" s="42"/>
      <c r="AD84" s="42"/>
      <c r="AE84" s="42"/>
      <c r="AF84" s="43"/>
    </row>
    <row r="85" spans="1:32" ht="122.1" customHeight="1" x14ac:dyDescent="0.15">
      <c r="A85" s="59"/>
      <c r="B85" s="74"/>
      <c r="C85" s="75"/>
      <c r="D85" s="75"/>
      <c r="E85" s="75"/>
      <c r="F85" s="76"/>
      <c r="G85" s="64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6"/>
      <c r="X85" s="44"/>
      <c r="Y85" s="45"/>
      <c r="Z85" s="45"/>
      <c r="AA85" s="46"/>
      <c r="AB85" s="44"/>
      <c r="AC85" s="45"/>
      <c r="AD85" s="45"/>
      <c r="AE85" s="45"/>
      <c r="AF85" s="46"/>
    </row>
    <row r="86" spans="1:32" ht="18" customHeight="1" x14ac:dyDescent="0.15">
      <c r="A86" s="59"/>
      <c r="B86" s="77" t="s">
        <v>41</v>
      </c>
      <c r="C86" s="78"/>
      <c r="D86" s="78"/>
      <c r="E86" s="78"/>
      <c r="F86" s="79"/>
      <c r="G86" s="64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6"/>
      <c r="X86" s="44"/>
      <c r="Y86" s="45"/>
      <c r="Z86" s="45"/>
      <c r="AA86" s="46"/>
      <c r="AB86" s="44"/>
      <c r="AC86" s="45"/>
      <c r="AD86" s="45"/>
      <c r="AE86" s="45"/>
      <c r="AF86" s="46"/>
    </row>
    <row r="87" spans="1:32" ht="18" customHeight="1" x14ac:dyDescent="0.15">
      <c r="A87" s="60"/>
      <c r="B87" s="80" t="s">
        <v>42</v>
      </c>
      <c r="C87" s="80"/>
      <c r="D87" s="80"/>
      <c r="E87" s="80"/>
      <c r="F87" s="80"/>
      <c r="G87" s="67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9"/>
      <c r="X87" s="47"/>
      <c r="Y87" s="48"/>
      <c r="Z87" s="48"/>
      <c r="AA87" s="49"/>
      <c r="AB87" s="47"/>
      <c r="AC87" s="48"/>
      <c r="AD87" s="48"/>
      <c r="AE87" s="48"/>
      <c r="AF87" s="49"/>
    </row>
    <row r="88" spans="1:32" ht="23.1" customHeight="1" x14ac:dyDescent="0.15">
      <c r="A88" s="56">
        <f>A80+1</f>
        <v>8</v>
      </c>
      <c r="B88" s="26">
        <v>42278</v>
      </c>
      <c r="C88" s="26"/>
      <c r="D88" s="26"/>
      <c r="E88" s="26"/>
      <c r="F88" s="26"/>
      <c r="G88" s="61" t="s">
        <v>53</v>
      </c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3"/>
      <c r="X88" s="30" t="s">
        <v>28</v>
      </c>
      <c r="Y88" s="30" t="s">
        <v>29</v>
      </c>
      <c r="Z88" s="30" t="s">
        <v>30</v>
      </c>
      <c r="AA88" s="30" t="s">
        <v>31</v>
      </c>
      <c r="AB88" s="31" t="s">
        <v>32</v>
      </c>
      <c r="AC88" s="30" t="s">
        <v>33</v>
      </c>
      <c r="AD88" s="30" t="s">
        <v>34</v>
      </c>
      <c r="AE88" s="30" t="s">
        <v>35</v>
      </c>
      <c r="AF88" s="53" t="s">
        <v>36</v>
      </c>
    </row>
    <row r="89" spans="1:32" ht="24.95" customHeight="1" x14ac:dyDescent="0.15">
      <c r="A89" s="59"/>
      <c r="B89" s="81" t="s">
        <v>37</v>
      </c>
      <c r="C89" s="82"/>
      <c r="D89" s="82"/>
      <c r="E89" s="82"/>
      <c r="F89" s="83"/>
      <c r="G89" s="64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6"/>
      <c r="X89" s="31"/>
      <c r="Y89" s="31"/>
      <c r="Z89" s="31"/>
      <c r="AA89" s="31"/>
      <c r="AB89" s="31"/>
      <c r="AC89" s="31"/>
      <c r="AD89" s="31"/>
      <c r="AE89" s="31"/>
      <c r="AF89" s="53"/>
    </row>
    <row r="90" spans="1:32" ht="27" customHeight="1" x14ac:dyDescent="0.15">
      <c r="A90" s="59"/>
      <c r="B90" s="26">
        <v>42461</v>
      </c>
      <c r="C90" s="26"/>
      <c r="D90" s="26"/>
      <c r="E90" s="26"/>
      <c r="F90" s="26"/>
      <c r="G90" s="64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6"/>
      <c r="X90" s="32"/>
      <c r="Y90" s="32"/>
      <c r="Z90" s="32"/>
      <c r="AA90" s="32"/>
      <c r="AB90" s="32"/>
      <c r="AC90" s="32"/>
      <c r="AD90" s="32"/>
      <c r="AE90" s="32"/>
      <c r="AF90" s="53"/>
    </row>
    <row r="91" spans="1:32" ht="21.95" customHeight="1" x14ac:dyDescent="0.15">
      <c r="A91" s="59"/>
      <c r="B91" s="74" t="str">
        <f>"("&amp;ROUND(DAYS360(B88,B90)/30,0)+0&amp;"ヶ月)"</f>
        <v>(6ヶ月)</v>
      </c>
      <c r="C91" s="75"/>
      <c r="D91" s="75"/>
      <c r="E91" s="75"/>
      <c r="F91" s="76"/>
      <c r="G91" s="64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6"/>
      <c r="X91" s="11"/>
      <c r="Y91" s="11"/>
      <c r="Z91" s="12" t="s">
        <v>38</v>
      </c>
      <c r="AA91" s="12" t="s">
        <v>38</v>
      </c>
      <c r="AB91" s="13"/>
      <c r="AC91" s="15" t="s">
        <v>38</v>
      </c>
      <c r="AD91" s="15" t="s">
        <v>38</v>
      </c>
      <c r="AE91" s="15" t="s">
        <v>38</v>
      </c>
      <c r="AF91" s="17"/>
    </row>
    <row r="92" spans="1:32" ht="15" customHeight="1" x14ac:dyDescent="0.15">
      <c r="A92" s="59"/>
      <c r="B92" s="74"/>
      <c r="C92" s="75"/>
      <c r="D92" s="75"/>
      <c r="E92" s="75"/>
      <c r="F92" s="76"/>
      <c r="G92" s="64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6"/>
      <c r="X92" s="54" t="s">
        <v>54</v>
      </c>
      <c r="Y92" s="42"/>
      <c r="Z92" s="42"/>
      <c r="AA92" s="43"/>
      <c r="AB92" s="54" t="s">
        <v>55</v>
      </c>
      <c r="AC92" s="42"/>
      <c r="AD92" s="42"/>
      <c r="AE92" s="42"/>
      <c r="AF92" s="43"/>
    </row>
    <row r="93" spans="1:32" ht="120.95" customHeight="1" x14ac:dyDescent="0.15">
      <c r="A93" s="59"/>
      <c r="B93" s="74"/>
      <c r="C93" s="75"/>
      <c r="D93" s="75"/>
      <c r="E93" s="75"/>
      <c r="F93" s="76"/>
      <c r="G93" s="64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6"/>
      <c r="X93" s="44"/>
      <c r="Y93" s="45"/>
      <c r="Z93" s="45"/>
      <c r="AA93" s="46"/>
      <c r="AB93" s="44"/>
      <c r="AC93" s="45"/>
      <c r="AD93" s="45"/>
      <c r="AE93" s="45"/>
      <c r="AF93" s="46"/>
    </row>
    <row r="94" spans="1:32" ht="18" customHeight="1" x14ac:dyDescent="0.15">
      <c r="A94" s="59"/>
      <c r="B94" s="77" t="s">
        <v>41</v>
      </c>
      <c r="C94" s="78"/>
      <c r="D94" s="78"/>
      <c r="E94" s="78"/>
      <c r="F94" s="79"/>
      <c r="G94" s="64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6"/>
      <c r="X94" s="44"/>
      <c r="Y94" s="45"/>
      <c r="Z94" s="45"/>
      <c r="AA94" s="46"/>
      <c r="AB94" s="44"/>
      <c r="AC94" s="45"/>
      <c r="AD94" s="45"/>
      <c r="AE94" s="45"/>
      <c r="AF94" s="46"/>
    </row>
    <row r="95" spans="1:32" ht="18" customHeight="1" x14ac:dyDescent="0.15">
      <c r="A95" s="60"/>
      <c r="B95" s="80" t="s">
        <v>42</v>
      </c>
      <c r="C95" s="80"/>
      <c r="D95" s="80"/>
      <c r="E95" s="80"/>
      <c r="F95" s="80"/>
      <c r="G95" s="67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9"/>
      <c r="X95" s="47"/>
      <c r="Y95" s="48"/>
      <c r="Z95" s="48"/>
      <c r="AA95" s="49"/>
      <c r="AB95" s="47"/>
      <c r="AC95" s="48"/>
      <c r="AD95" s="48"/>
      <c r="AE95" s="48"/>
      <c r="AF95" s="49"/>
    </row>
    <row r="96" spans="1:32" ht="14.1" customHeight="1" x14ac:dyDescent="0.15">
      <c r="A96" s="84" t="s">
        <v>56</v>
      </c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</row>
    <row r="97" spans="1:32" ht="14.1" customHeight="1" x14ac:dyDescent="0.15">
      <c r="A97" s="22" t="s">
        <v>58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</row>
    <row r="98" spans="1:32" ht="14.1" customHeight="1" x14ac:dyDescent="0.1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</row>
    <row r="99" spans="1:32" ht="14.1" customHeight="1" x14ac:dyDescent="0.1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</row>
  </sheetData>
  <mergeCells count="185">
    <mergeCell ref="B37:F38"/>
    <mergeCell ref="B22:F36"/>
    <mergeCell ref="A1:AF1"/>
    <mergeCell ref="AB2:AF2"/>
    <mergeCell ref="A3:H3"/>
    <mergeCell ref="I3:L3"/>
    <mergeCell ref="M3:T3"/>
    <mergeCell ref="U3:AF3"/>
    <mergeCell ref="A4:H4"/>
    <mergeCell ref="I4:L4"/>
    <mergeCell ref="M4:T4"/>
    <mergeCell ref="U4:AF4"/>
    <mergeCell ref="A5:L5"/>
    <mergeCell ref="M5:T5"/>
    <mergeCell ref="U5:AA5"/>
    <mergeCell ref="AB5:AF5"/>
    <mergeCell ref="A6:L6"/>
    <mergeCell ref="M6:T6"/>
    <mergeCell ref="U6:AA6"/>
    <mergeCell ref="AB6:AF6"/>
    <mergeCell ref="A9:AF9"/>
    <mergeCell ref="A10:AF10"/>
    <mergeCell ref="A11:AF11"/>
    <mergeCell ref="A12:AF12"/>
    <mergeCell ref="A13:AF13"/>
    <mergeCell ref="A15:D15"/>
    <mergeCell ref="E15:AF15"/>
    <mergeCell ref="X17:AF17"/>
    <mergeCell ref="X18:AA18"/>
    <mergeCell ref="AB18:AF18"/>
    <mergeCell ref="A17:A18"/>
    <mergeCell ref="G17:W18"/>
    <mergeCell ref="B17:F18"/>
    <mergeCell ref="B40:F40"/>
    <mergeCell ref="B41:F41"/>
    <mergeCell ref="B42:F42"/>
    <mergeCell ref="B46:F46"/>
    <mergeCell ref="B47:F47"/>
    <mergeCell ref="B48:F48"/>
    <mergeCell ref="B49:F49"/>
    <mergeCell ref="B50:F50"/>
    <mergeCell ref="B54:F54"/>
    <mergeCell ref="B55:F55"/>
    <mergeCell ref="B56:F56"/>
    <mergeCell ref="B57:F57"/>
    <mergeCell ref="B58:F58"/>
    <mergeCell ref="B62:F62"/>
    <mergeCell ref="B63:F63"/>
    <mergeCell ref="B64:F64"/>
    <mergeCell ref="B65:F65"/>
    <mergeCell ref="B66:F66"/>
    <mergeCell ref="B70:F70"/>
    <mergeCell ref="B71:F71"/>
    <mergeCell ref="B72:F72"/>
    <mergeCell ref="B73:F73"/>
    <mergeCell ref="B74:F74"/>
    <mergeCell ref="B78:F78"/>
    <mergeCell ref="B79:F79"/>
    <mergeCell ref="B80:F80"/>
    <mergeCell ref="B81:F81"/>
    <mergeCell ref="B82:F82"/>
    <mergeCell ref="B86:F86"/>
    <mergeCell ref="B87:F87"/>
    <mergeCell ref="B88:F88"/>
    <mergeCell ref="B89:F89"/>
    <mergeCell ref="B90:F90"/>
    <mergeCell ref="B94:F94"/>
    <mergeCell ref="B95:F95"/>
    <mergeCell ref="A96:AF96"/>
    <mergeCell ref="G80:W87"/>
    <mergeCell ref="B83:F85"/>
    <mergeCell ref="G88:W95"/>
    <mergeCell ref="B91:F93"/>
    <mergeCell ref="X92:AA95"/>
    <mergeCell ref="AB92:AF95"/>
    <mergeCell ref="A40:A47"/>
    <mergeCell ref="A48:A55"/>
    <mergeCell ref="A56:A63"/>
    <mergeCell ref="A64:A71"/>
    <mergeCell ref="A72:A79"/>
    <mergeCell ref="A80:A87"/>
    <mergeCell ref="A88:A95"/>
    <mergeCell ref="X40:X42"/>
    <mergeCell ref="X48:X50"/>
    <mergeCell ref="X56:X58"/>
    <mergeCell ref="X64:X66"/>
    <mergeCell ref="X72:X74"/>
    <mergeCell ref="X80:X82"/>
    <mergeCell ref="X88:X90"/>
    <mergeCell ref="B43:F45"/>
    <mergeCell ref="G56:W63"/>
    <mergeCell ref="G72:W79"/>
    <mergeCell ref="G64:W71"/>
    <mergeCell ref="G48:W55"/>
    <mergeCell ref="B51:F53"/>
    <mergeCell ref="B59:F61"/>
    <mergeCell ref="B75:F77"/>
    <mergeCell ref="B67:F69"/>
    <mergeCell ref="G40:W47"/>
    <mergeCell ref="X68:AA71"/>
    <mergeCell ref="X84:AA87"/>
    <mergeCell ref="Y40:Y42"/>
    <mergeCell ref="Y48:Y50"/>
    <mergeCell ref="Y56:Y58"/>
    <mergeCell ref="Y64:Y66"/>
    <mergeCell ref="Y72:Y74"/>
    <mergeCell ref="Y80:Y82"/>
    <mergeCell ref="Y88:Y90"/>
    <mergeCell ref="Z40:Z42"/>
    <mergeCell ref="Z48:Z50"/>
    <mergeCell ref="Z56:Z58"/>
    <mergeCell ref="Z64:Z66"/>
    <mergeCell ref="Z72:Z74"/>
    <mergeCell ref="Z80:Z82"/>
    <mergeCell ref="Z88:Z90"/>
    <mergeCell ref="AD48:AD50"/>
    <mergeCell ref="AD56:AD58"/>
    <mergeCell ref="AD64:AD66"/>
    <mergeCell ref="AD72:AD74"/>
    <mergeCell ref="AD80:AD82"/>
    <mergeCell ref="AD88:AD90"/>
    <mergeCell ref="AA40:AA42"/>
    <mergeCell ref="AA48:AA50"/>
    <mergeCell ref="AA56:AA58"/>
    <mergeCell ref="AA64:AA66"/>
    <mergeCell ref="AA72:AA74"/>
    <mergeCell ref="AA80:AA82"/>
    <mergeCell ref="AA88:AA90"/>
    <mergeCell ref="AB40:AB42"/>
    <mergeCell ref="AB48:AB50"/>
    <mergeCell ref="AB56:AB58"/>
    <mergeCell ref="AB64:AB66"/>
    <mergeCell ref="AB72:AB74"/>
    <mergeCell ref="AB80:AB82"/>
    <mergeCell ref="AB88:AB90"/>
    <mergeCell ref="X52:AA55"/>
    <mergeCell ref="X44:AA47"/>
    <mergeCell ref="X60:AA63"/>
    <mergeCell ref="X76:AA79"/>
    <mergeCell ref="AE72:AE74"/>
    <mergeCell ref="AE80:AE82"/>
    <mergeCell ref="AE88:AE90"/>
    <mergeCell ref="AF40:AF42"/>
    <mergeCell ref="AF48:AF50"/>
    <mergeCell ref="AF56:AF58"/>
    <mergeCell ref="AF64:AF66"/>
    <mergeCell ref="AF72:AF74"/>
    <mergeCell ref="AF80:AF82"/>
    <mergeCell ref="AF88:AF90"/>
    <mergeCell ref="AB44:AF47"/>
    <mergeCell ref="AB52:AF55"/>
    <mergeCell ref="AB60:AF63"/>
    <mergeCell ref="AB68:AF71"/>
    <mergeCell ref="AB76:AF79"/>
    <mergeCell ref="AB84:AF87"/>
    <mergeCell ref="AC40:AC42"/>
    <mergeCell ref="AC48:AC50"/>
    <mergeCell ref="AC56:AC58"/>
    <mergeCell ref="AC64:AC66"/>
    <mergeCell ref="AC72:AC74"/>
    <mergeCell ref="AC80:AC82"/>
    <mergeCell ref="AC88:AC90"/>
    <mergeCell ref="AD40:AD42"/>
    <mergeCell ref="A97:AF99"/>
    <mergeCell ref="A19:A39"/>
    <mergeCell ref="B19:F19"/>
    <mergeCell ref="G19:W39"/>
    <mergeCell ref="X19:X21"/>
    <mergeCell ref="Y19:Y21"/>
    <mergeCell ref="Z19:Z21"/>
    <mergeCell ref="AA19:AA21"/>
    <mergeCell ref="AB19:AB21"/>
    <mergeCell ref="AC19:AC21"/>
    <mergeCell ref="AD19:AD21"/>
    <mergeCell ref="AE19:AE21"/>
    <mergeCell ref="AF19:AF21"/>
    <mergeCell ref="B20:F20"/>
    <mergeCell ref="B21:F21"/>
    <mergeCell ref="X23:AA39"/>
    <mergeCell ref="AB23:AF39"/>
    <mergeCell ref="B39:F39"/>
    <mergeCell ref="AE40:AE42"/>
    <mergeCell ref="AE48:AE50"/>
    <mergeCell ref="AE56:AE58"/>
    <mergeCell ref="AE64:AE66"/>
  </mergeCells>
  <phoneticPr fontId="11"/>
  <pageMargins left="0.63888888888888895" right="0.63888888888888895" top="0.75" bottom="0.75" header="0.3" footer="0.3"/>
  <pageSetup paperSize="9" fitToHeight="3" orientation="portrait" r:id="rId1"/>
  <headerFooter>
    <oddFooter>&amp;C&amp;"ＭＳ Ｐ明朝,標準"&amp;8&amp;P/&amp;N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職務経歴書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 Eikon</dc:creator>
  <cp:lastModifiedBy>仝　亜西（SBPS）</cp:lastModifiedBy>
  <cp:lastPrinted>2018-05-22T00:29:00Z</cp:lastPrinted>
  <dcterms:created xsi:type="dcterms:W3CDTF">2016-08-27T05:25:00Z</dcterms:created>
  <dcterms:modified xsi:type="dcterms:W3CDTF">2020-11-30T12:42:00Z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2052-3.0.0.4824</vt:lpwstr>
  </property>
</Properties>
</file>