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'業務日報（派遣労働者用）（書式）'!$A$1:$M$54</definedName>
  </definedNames>
  <calcPr calcId="145621"/>
</workbook>
</file>

<file path=xl/calcChain.xml><?xml version="1.0" encoding="utf-8"?>
<calcChain xmlns="http://schemas.openxmlformats.org/spreadsheetml/2006/main">
  <c r="H18" i="5" l="1"/>
  <c r="H47" i="5"/>
  <c r="H46" i="5"/>
  <c r="A45" i="5"/>
  <c r="A46" i="5"/>
  <c r="A47" i="5"/>
  <c r="H27" i="5" l="1"/>
  <c r="H35" i="5"/>
  <c r="H45" i="5"/>
  <c r="H42" i="5"/>
  <c r="H41" i="5"/>
  <c r="A41" i="5"/>
  <c r="A42" i="5"/>
  <c r="A43" i="5"/>
  <c r="A44" i="5"/>
  <c r="H40" i="5" l="1"/>
  <c r="H32" i="5"/>
  <c r="A40" i="5"/>
  <c r="H38" i="5" l="1"/>
  <c r="H20" i="5"/>
  <c r="A37" i="5" l="1"/>
  <c r="A38" i="5"/>
  <c r="A39" i="5"/>
  <c r="H34" i="5" l="1"/>
  <c r="H33" i="5"/>
  <c r="A36" i="5"/>
  <c r="A35" i="5"/>
  <c r="A34" i="5"/>
  <c r="H31" i="5" l="1"/>
  <c r="H30" i="5"/>
  <c r="H29" i="5"/>
  <c r="H24" i="5"/>
  <c r="H23" i="5"/>
  <c r="H22" i="5"/>
  <c r="A31" i="5"/>
  <c r="A32" i="5"/>
  <c r="A33" i="5"/>
  <c r="H28" i="5" l="1"/>
  <c r="A29" i="5"/>
  <c r="A30" i="5"/>
  <c r="A28" i="5"/>
  <c r="A27" i="5"/>
  <c r="H26" i="5"/>
  <c r="A26" i="5"/>
  <c r="H25" i="5"/>
  <c r="A25" i="5"/>
  <c r="A24" i="5"/>
  <c r="A23" i="5"/>
  <c r="A22" i="5"/>
  <c r="H21" i="5"/>
  <c r="A21" i="5"/>
  <c r="A20" i="5"/>
  <c r="A19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8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<sst xmlns="http://schemas.openxmlformats.org/spreadsheetml/2006/main" count="213" uniqueCount="122">
  <si>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</si>
  <si>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</si>
  <si>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</si>
  <si>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</si>
  <si>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</si>
  <si>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</si>
  <si>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</si>
  <si>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</si>
  <si>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</si>
  <si>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</si>
  <si>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</si>
  <si>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</si>
  <si>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</si>
  <si>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</si>
  <si>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</si>
  <si>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</si>
  <si>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</si>
  <si>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</si>
  <si>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</si>
  <si>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</si>
  <si>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</si>
  <si>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</si>
  <si>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</si>
  <si>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</si>
  <si>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</si>
  <si>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</si>
  <si>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</si>
  <si>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</si>
  <si>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</si>
  <si>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</si>
  <si>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</si>
  <si>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</si>
  <si>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</si>
  <si>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</si>
  <si>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</si>
  <si>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</si>
  <si>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</si>
  <si>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</si>
  <si>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</si>
  <si>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</si>
  <si>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</si>
  <si>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</si>
  <si>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</si>
  <si>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</si>
  <si>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</si>
  <si>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</si>
  <si>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</si>
  <si>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</si>
  <si>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</si>
  <si>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</si>
  <si>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</si>
  <si>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</si>
  <si>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</si>
  <si>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</si>
  <si>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</si>
  <si>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</si>
  <si>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</si>
  <si>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</si>
  <si>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</si>
  <si>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</si>
  <si>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</si>
  <si>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</si>
  <si>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</si>
  <si>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</si>
  <si>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</si>
  <si>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</si>
  <si>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</si>
  <si>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</si>
  <si>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</si>
  <si>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</si>
  <si>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</si>
  <si>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</si>
  <si>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</si>
  <si>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</si>
  <si>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</si>
  <si>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</si>
  <si>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</si>
  <si>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</si>
  <si>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</si>
  <si>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</si>
  <si>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</si>
  <si>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</si>
  <si>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3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</si>
  <si>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</si>
  <si>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</si>
  <si>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</si>
  <si>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</si>
  <si>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</si>
  <si>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</si>
  <si>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</si>
  <si>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</si>
  <si>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</si>
  <si>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</si>
  <si>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</si>
  <si>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</si>
  <si>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</si>
  <si>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</si>
  <si>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</si>
  <si>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</si>
  <si>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</si>
  <si>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</si>
  <si>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</si>
  <si>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月</t>
    <phoneticPr fontId="13"/>
  </si>
  <si>
    <t>月</t>
    <phoneticPr fontId="13"/>
  </si>
  <si>
    <t>火</t>
    <phoneticPr fontId="13"/>
  </si>
  <si>
    <t>火</t>
    <phoneticPr fontId="13"/>
  </si>
  <si>
    <t>水</t>
    <phoneticPr fontId="13"/>
  </si>
  <si>
    <t>水</t>
    <phoneticPr fontId="13"/>
  </si>
  <si>
    <t>木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</si>
  <si>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</si>
  <si>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</si>
  <si>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</si>
  <si>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</si>
  <si>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/ 29</t>
  </si>
  <si>
    <t>/ 30</t>
  </si>
  <si>
    <t>日</t>
    <rPh sb="0" eb="1">
      <t>ジツ</t>
    </rPh>
    <phoneticPr fontId="13"/>
  </si>
  <si>
    <t>月</t>
    <rPh sb="0" eb="1">
      <t>ツキ</t>
    </rPh>
    <phoneticPr fontId="13"/>
  </si>
  <si>
    <t>火</t>
    <rPh sb="0" eb="1">
      <t>ヒ</t>
    </rPh>
    <phoneticPr fontId="13"/>
  </si>
  <si>
    <t>水</t>
    <rPh sb="0" eb="1">
      <t>ミズ</t>
    </rPh>
    <phoneticPr fontId="13"/>
  </si>
  <si>
    <t>MP-linbp2021030198-01</t>
    <phoneticPr fontId="13"/>
  </si>
  <si>
    <t>/ 1</t>
    <phoneticPr fontId="13"/>
  </si>
  <si>
    <t>6/2、6/22の休みをいただきました。</t>
    <rPh sb="9" eb="10">
      <t>ヤス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</si>
</sst>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4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8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3" xfId="0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10" fillId="3" borderId="2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0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58" t="s">
        <v>1</v>
      </c>
      <c r="K3" s="58"/>
      <c r="L3" s="58"/>
      <c r="M3" s="58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59" t="s">
        <v>2</v>
      </c>
      <c r="K5" s="59"/>
      <c r="L5" s="59"/>
      <c r="M5" s="32" t="s">
        <v>3</v>
      </c>
    </row>
    <row r="6" spans="1:19" ht="13.5" customHeight="1">
      <c r="F6" s="7"/>
      <c r="J6" s="60" t="s">
        <v>4</v>
      </c>
      <c r="K6" s="60"/>
      <c r="L6" s="60"/>
      <c r="M6" s="60"/>
    </row>
    <row r="7" spans="1:19" ht="13.5" customHeight="1">
      <c r="F7" s="7"/>
      <c r="J7" s="60" t="s">
        <v>5</v>
      </c>
      <c r="K7" s="60"/>
      <c r="L7" s="60"/>
      <c r="M7" s="60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60" t="s">
        <v>7</v>
      </c>
      <c r="K10" s="60"/>
      <c r="L10" s="60"/>
      <c r="M10" s="60"/>
      <c r="S10" t="s">
        <v>8</v>
      </c>
    </row>
    <row r="11" spans="1:19" ht="13.5" customHeight="1">
      <c r="A11" s="61">
        <v>2020</v>
      </c>
      <c r="B11" s="62"/>
      <c r="C11" s="39" t="s">
        <v>9</v>
      </c>
      <c r="D11" s="38">
        <v>4</v>
      </c>
      <c r="E11" s="45" t="s">
        <v>10</v>
      </c>
      <c r="F11" s="7"/>
      <c r="J11" s="60" t="s">
        <v>11</v>
      </c>
      <c r="K11" s="60"/>
      <c r="L11" s="60"/>
      <c r="M11" s="60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3" t="s">
        <v>12</v>
      </c>
      <c r="B14" s="63"/>
      <c r="C14" s="63"/>
      <c r="D14" s="64" t="s">
        <v>13</v>
      </c>
      <c r="E14" s="65"/>
      <c r="F14" s="65"/>
      <c r="G14" s="65"/>
      <c r="H14" s="66"/>
      <c r="I14" s="64" t="s">
        <v>14</v>
      </c>
      <c r="J14" s="66"/>
      <c r="K14" s="21" t="s">
        <v>15</v>
      </c>
      <c r="L14" s="22" t="s">
        <v>16</v>
      </c>
      <c r="M14" s="33" t="s">
        <v>16</v>
      </c>
    </row>
    <row r="15" spans="1:19" ht="13.5" customHeight="1">
      <c r="A15" s="67" t="s">
        <v>17</v>
      </c>
      <c r="B15" s="68"/>
      <c r="C15" s="68"/>
      <c r="D15" s="69" t="s">
        <v>18</v>
      </c>
      <c r="E15" s="70"/>
      <c r="F15" s="70"/>
      <c r="G15" s="70"/>
      <c r="H15" s="71"/>
      <c r="I15" s="23"/>
      <c r="J15" s="23"/>
      <c r="K15" s="24"/>
      <c r="L15" s="25"/>
      <c r="M15" s="34"/>
    </row>
    <row r="17" spans="1:13" ht="30" customHeight="1">
      <c r="A17" s="72" t="s">
        <v>19</v>
      </c>
      <c r="B17" s="73"/>
      <c r="C17" s="74" t="s">
        <v>20</v>
      </c>
      <c r="D17" s="75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3" t="s">
        <v>26</v>
      </c>
      <c r="K17" s="73"/>
      <c r="L17" s="73"/>
      <c r="M17" s="76"/>
    </row>
    <row r="18" spans="1:13" ht="13.5" customHeight="1">
      <c r="A18" s="40">
        <f>D$11</f>
        <v>4</v>
      </c>
      <c r="B18" s="41" t="s">
        <v>27</v>
      </c>
      <c r="C18" s="77" t="s">
        <v>28</v>
      </c>
      <c r="D18" s="78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79"/>
      <c r="K18" s="79"/>
      <c r="L18" s="79"/>
      <c r="M18" s="80"/>
    </row>
    <row r="19" spans="1:13" ht="13.5" customHeight="1">
      <c r="A19" s="6">
        <f t="shared" ref="A19:A48" si="1">D$11</f>
        <v>4</v>
      </c>
      <c r="B19" s="42" t="s">
        <v>29</v>
      </c>
      <c r="C19" s="81" t="s">
        <v>30</v>
      </c>
      <c r="D19" s="82"/>
      <c r="E19" s="12"/>
      <c r="F19" s="13"/>
      <c r="G19" s="14"/>
      <c r="H19" s="15" t="str">
        <f t="shared" si="0"/>
        <v/>
      </c>
      <c r="I19" s="26"/>
      <c r="J19" s="83"/>
      <c r="K19" s="83"/>
      <c r="L19" s="83"/>
      <c r="M19" s="84"/>
    </row>
    <row r="20" spans="1:13" ht="13.5" customHeight="1">
      <c r="A20" s="6">
        <f t="shared" si="1"/>
        <v>4</v>
      </c>
      <c r="B20" s="42" t="s">
        <v>31</v>
      </c>
      <c r="C20" s="81" t="s">
        <v>32</v>
      </c>
      <c r="D20" s="82"/>
      <c r="E20" s="12"/>
      <c r="F20" s="13"/>
      <c r="G20" s="14"/>
      <c r="H20" s="15" t="str">
        <f t="shared" si="0"/>
        <v/>
      </c>
      <c r="I20" s="26"/>
      <c r="J20" s="83"/>
      <c r="K20" s="83"/>
      <c r="L20" s="83"/>
      <c r="M20" s="84"/>
    </row>
    <row r="21" spans="1:13" ht="13.5" customHeight="1">
      <c r="A21" s="6">
        <f t="shared" si="1"/>
        <v>4</v>
      </c>
      <c r="B21" s="42" t="s">
        <v>33</v>
      </c>
      <c r="C21" s="81" t="s">
        <v>34</v>
      </c>
      <c r="D21" s="82"/>
      <c r="E21" s="12"/>
      <c r="F21" s="13"/>
      <c r="G21" s="14"/>
      <c r="H21" s="15" t="str">
        <f t="shared" si="0"/>
        <v/>
      </c>
      <c r="I21" s="26"/>
      <c r="J21" s="83"/>
      <c r="K21" s="83"/>
      <c r="L21" s="83"/>
      <c r="M21" s="84"/>
    </row>
    <row r="22" spans="1:13" ht="13.5" customHeight="1">
      <c r="A22" s="6">
        <f t="shared" si="1"/>
        <v>4</v>
      </c>
      <c r="B22" s="42" t="s">
        <v>35</v>
      </c>
      <c r="C22" s="81" t="s">
        <v>36</v>
      </c>
      <c r="D22" s="82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3" t="s">
        <v>37</v>
      </c>
      <c r="K22" s="83"/>
      <c r="L22" s="83"/>
      <c r="M22" s="84"/>
    </row>
    <row r="23" spans="1:13" ht="13.5" customHeight="1">
      <c r="A23" s="6">
        <f t="shared" si="1"/>
        <v>4</v>
      </c>
      <c r="B23" s="42" t="s">
        <v>38</v>
      </c>
      <c r="C23" s="81" t="s">
        <v>39</v>
      </c>
      <c r="D23" s="82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3" t="s">
        <v>40</v>
      </c>
      <c r="K23" s="83"/>
      <c r="L23" s="83"/>
      <c r="M23" s="84"/>
    </row>
    <row r="24" spans="1:13" ht="13.5" customHeight="1">
      <c r="A24" s="6">
        <f t="shared" si="1"/>
        <v>4</v>
      </c>
      <c r="B24" s="42" t="s">
        <v>41</v>
      </c>
      <c r="C24" s="81" t="s">
        <v>42</v>
      </c>
      <c r="D24" s="82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3" t="s">
        <v>43</v>
      </c>
      <c r="K24" s="83"/>
      <c r="L24" s="83"/>
      <c r="M24" s="84"/>
    </row>
    <row r="25" spans="1:13" ht="13.5" customHeight="1">
      <c r="A25" s="6">
        <f t="shared" si="1"/>
        <v>4</v>
      </c>
      <c r="B25" s="42" t="s">
        <v>44</v>
      </c>
      <c r="C25" s="81" t="s">
        <v>28</v>
      </c>
      <c r="D25" s="82"/>
      <c r="E25" s="12"/>
      <c r="F25" s="13"/>
      <c r="G25" s="14"/>
      <c r="H25" s="15"/>
      <c r="I25" s="26"/>
      <c r="J25" s="83"/>
      <c r="K25" s="83"/>
      <c r="L25" s="83"/>
      <c r="M25" s="84"/>
    </row>
    <row r="26" spans="1:13" ht="13.5" customHeight="1">
      <c r="A26" s="6">
        <f t="shared" si="1"/>
        <v>4</v>
      </c>
      <c r="B26" s="42" t="s">
        <v>45</v>
      </c>
      <c r="C26" s="81" t="s">
        <v>30</v>
      </c>
      <c r="D26" s="82"/>
      <c r="E26" s="12"/>
      <c r="F26" s="13"/>
      <c r="G26" s="14"/>
      <c r="H26" s="15" t="str">
        <f t="shared" si="0"/>
        <v/>
      </c>
      <c r="I26" s="26"/>
      <c r="J26" s="83"/>
      <c r="K26" s="83"/>
      <c r="L26" s="83"/>
      <c r="M26" s="84"/>
    </row>
    <row r="27" spans="1:13" ht="13.5" customHeight="1">
      <c r="A27" s="6">
        <f t="shared" si="1"/>
        <v>4</v>
      </c>
      <c r="B27" s="42" t="s">
        <v>46</v>
      </c>
      <c r="C27" s="81" t="s">
        <v>32</v>
      </c>
      <c r="D27" s="82"/>
      <c r="E27" s="12"/>
      <c r="F27" s="13"/>
      <c r="G27" s="14"/>
      <c r="H27" s="15" t="str">
        <f t="shared" si="0"/>
        <v/>
      </c>
      <c r="I27" s="26"/>
      <c r="J27" s="83"/>
      <c r="K27" s="83"/>
      <c r="L27" s="83"/>
      <c r="M27" s="84"/>
    </row>
    <row r="28" spans="1:13" ht="13.5" customHeight="1">
      <c r="A28" s="6">
        <f t="shared" si="1"/>
        <v>4</v>
      </c>
      <c r="B28" s="42" t="s">
        <v>47</v>
      </c>
      <c r="C28" s="81" t="s">
        <v>34</v>
      </c>
      <c r="D28" s="82"/>
      <c r="E28" s="12"/>
      <c r="F28" s="13"/>
      <c r="G28" s="14"/>
      <c r="H28" s="15" t="str">
        <f t="shared" si="0"/>
        <v/>
      </c>
      <c r="I28" s="26"/>
      <c r="J28" s="83"/>
      <c r="K28" s="83"/>
      <c r="L28" s="83"/>
      <c r="M28" s="84"/>
    </row>
    <row r="29" spans="1:13" ht="13.5" customHeight="1">
      <c r="A29" s="6">
        <f t="shared" si="1"/>
        <v>4</v>
      </c>
      <c r="B29" s="42" t="s">
        <v>48</v>
      </c>
      <c r="C29" s="81" t="s">
        <v>36</v>
      </c>
      <c r="D29" s="82"/>
      <c r="E29" s="12"/>
      <c r="F29" s="13"/>
      <c r="G29" s="14"/>
      <c r="H29" s="15" t="str">
        <f t="shared" si="0"/>
        <v/>
      </c>
      <c r="I29" s="26"/>
      <c r="J29" s="83"/>
      <c r="K29" s="83"/>
      <c r="L29" s="83"/>
      <c r="M29" s="84"/>
    </row>
    <row r="30" spans="1:13" ht="13.5" customHeight="1">
      <c r="A30" s="6">
        <f t="shared" si="1"/>
        <v>4</v>
      </c>
      <c r="B30" s="42" t="s">
        <v>49</v>
      </c>
      <c r="C30" s="81" t="s">
        <v>39</v>
      </c>
      <c r="D30" s="82"/>
      <c r="E30" s="12"/>
      <c r="F30" s="13"/>
      <c r="G30" s="14"/>
      <c r="H30" s="15" t="str">
        <f t="shared" si="0"/>
        <v/>
      </c>
      <c r="I30" s="26"/>
      <c r="J30" s="83"/>
      <c r="K30" s="83"/>
      <c r="L30" s="83"/>
      <c r="M30" s="84"/>
    </row>
    <row r="31" spans="1:13" ht="13.5" customHeight="1">
      <c r="A31" s="6">
        <f t="shared" si="1"/>
        <v>4</v>
      </c>
      <c r="B31" s="42" t="s">
        <v>50</v>
      </c>
      <c r="C31" s="81" t="s">
        <v>42</v>
      </c>
      <c r="D31" s="82"/>
      <c r="E31" s="12"/>
      <c r="F31" s="13"/>
      <c r="G31" s="14"/>
      <c r="H31" s="15" t="str">
        <f t="shared" si="0"/>
        <v/>
      </c>
      <c r="I31" s="26"/>
      <c r="J31" s="83"/>
      <c r="K31" s="83"/>
      <c r="L31" s="83"/>
      <c r="M31" s="84"/>
    </row>
    <row r="32" spans="1:13" ht="13.5" customHeight="1">
      <c r="A32" s="6">
        <f t="shared" si="1"/>
        <v>4</v>
      </c>
      <c r="B32" s="42" t="s">
        <v>51</v>
      </c>
      <c r="C32" s="81" t="s">
        <v>28</v>
      </c>
      <c r="D32" s="82"/>
      <c r="E32" s="12"/>
      <c r="F32" s="13"/>
      <c r="G32" s="14"/>
      <c r="H32" s="15" t="str">
        <f t="shared" si="0"/>
        <v/>
      </c>
      <c r="I32" s="26"/>
      <c r="J32" s="83"/>
      <c r="K32" s="83"/>
      <c r="L32" s="83"/>
      <c r="M32" s="84"/>
    </row>
    <row r="33" spans="1:13" ht="13.5" customHeight="1">
      <c r="A33" s="6">
        <f t="shared" si="1"/>
        <v>4</v>
      </c>
      <c r="B33" s="42" t="s">
        <v>52</v>
      </c>
      <c r="C33" s="81" t="s">
        <v>30</v>
      </c>
      <c r="D33" s="82"/>
      <c r="E33" s="12"/>
      <c r="F33" s="13"/>
      <c r="G33" s="14"/>
      <c r="H33" s="15" t="str">
        <f t="shared" si="0"/>
        <v/>
      </c>
      <c r="I33" s="26"/>
      <c r="J33" s="83"/>
      <c r="K33" s="83"/>
      <c r="L33" s="83"/>
      <c r="M33" s="84"/>
    </row>
    <row r="34" spans="1:13" ht="13.5" customHeight="1">
      <c r="A34" s="6">
        <f t="shared" si="1"/>
        <v>4</v>
      </c>
      <c r="B34" s="42" t="s">
        <v>53</v>
      </c>
      <c r="C34" s="81" t="s">
        <v>32</v>
      </c>
      <c r="D34" s="82"/>
      <c r="E34" s="12"/>
      <c r="F34" s="13"/>
      <c r="G34" s="14"/>
      <c r="H34" s="15" t="str">
        <f t="shared" si="0"/>
        <v/>
      </c>
      <c r="I34" s="26"/>
      <c r="J34" s="83"/>
      <c r="K34" s="83"/>
      <c r="L34" s="83"/>
      <c r="M34" s="84"/>
    </row>
    <row r="35" spans="1:13" ht="13.5" customHeight="1">
      <c r="A35" s="6">
        <f t="shared" si="1"/>
        <v>4</v>
      </c>
      <c r="B35" s="42" t="s">
        <v>54</v>
      </c>
      <c r="C35" s="81" t="s">
        <v>34</v>
      </c>
      <c r="D35" s="82"/>
      <c r="E35" s="12"/>
      <c r="F35" s="13"/>
      <c r="G35" s="14"/>
      <c r="H35" s="15" t="str">
        <f t="shared" si="0"/>
        <v/>
      </c>
      <c r="I35" s="26"/>
      <c r="J35" s="83"/>
      <c r="K35" s="83"/>
      <c r="L35" s="83"/>
      <c r="M35" s="84"/>
    </row>
    <row r="36" spans="1:13" ht="13.5" customHeight="1">
      <c r="A36" s="6">
        <f t="shared" si="1"/>
        <v>4</v>
      </c>
      <c r="B36" s="42" t="s">
        <v>55</v>
      </c>
      <c r="C36" s="81" t="s">
        <v>36</v>
      </c>
      <c r="D36" s="82"/>
      <c r="E36" s="12"/>
      <c r="F36" s="13"/>
      <c r="G36" s="14"/>
      <c r="H36" s="15" t="str">
        <f t="shared" si="0"/>
        <v/>
      </c>
      <c r="I36" s="26"/>
      <c r="J36" s="83"/>
      <c r="K36" s="83"/>
      <c r="L36" s="83"/>
      <c r="M36" s="84"/>
    </row>
    <row r="37" spans="1:13" ht="13.5" customHeight="1">
      <c r="A37" s="6">
        <f t="shared" si="1"/>
        <v>4</v>
      </c>
      <c r="B37" s="42" t="s">
        <v>56</v>
      </c>
      <c r="C37" s="81" t="s">
        <v>39</v>
      </c>
      <c r="D37" s="82"/>
      <c r="E37" s="12"/>
      <c r="F37" s="13"/>
      <c r="G37" s="14"/>
      <c r="H37" s="15" t="str">
        <f t="shared" si="0"/>
        <v/>
      </c>
      <c r="I37" s="26"/>
      <c r="J37" s="83"/>
      <c r="K37" s="83"/>
      <c r="L37" s="83"/>
      <c r="M37" s="84"/>
    </row>
    <row r="38" spans="1:13" ht="13.5" customHeight="1">
      <c r="A38" s="6">
        <f t="shared" si="1"/>
        <v>4</v>
      </c>
      <c r="B38" s="42" t="s">
        <v>57</v>
      </c>
      <c r="C38" s="81" t="s">
        <v>42</v>
      </c>
      <c r="D38" s="82"/>
      <c r="E38" s="12"/>
      <c r="F38" s="13"/>
      <c r="G38" s="14"/>
      <c r="H38" s="15" t="str">
        <f t="shared" si="0"/>
        <v/>
      </c>
      <c r="I38" s="26"/>
      <c r="J38" s="83"/>
      <c r="K38" s="83"/>
      <c r="L38" s="83"/>
      <c r="M38" s="84"/>
    </row>
    <row r="39" spans="1:13" ht="13.5" customHeight="1">
      <c r="A39" s="6">
        <f t="shared" si="1"/>
        <v>4</v>
      </c>
      <c r="B39" s="42" t="s">
        <v>58</v>
      </c>
      <c r="C39" s="81" t="s">
        <v>28</v>
      </c>
      <c r="D39" s="82"/>
      <c r="E39" s="12"/>
      <c r="F39" s="13"/>
      <c r="G39" s="14"/>
      <c r="H39" s="15" t="str">
        <f t="shared" si="0"/>
        <v/>
      </c>
      <c r="I39" s="26"/>
      <c r="J39" s="83"/>
      <c r="K39" s="83"/>
      <c r="L39" s="83"/>
      <c r="M39" s="84"/>
    </row>
    <row r="40" spans="1:13" ht="13.5" customHeight="1">
      <c r="A40" s="6">
        <f t="shared" si="1"/>
        <v>4</v>
      </c>
      <c r="B40" s="42" t="s">
        <v>59</v>
      </c>
      <c r="C40" s="81" t="s">
        <v>30</v>
      </c>
      <c r="D40" s="82"/>
      <c r="E40" s="12"/>
      <c r="F40" s="13"/>
      <c r="G40" s="14"/>
      <c r="H40" s="15" t="str">
        <f t="shared" si="0"/>
        <v/>
      </c>
      <c r="I40" s="26"/>
      <c r="J40" s="83"/>
      <c r="K40" s="83"/>
      <c r="L40" s="83"/>
      <c r="M40" s="84"/>
    </row>
    <row r="41" spans="1:13" ht="13.5" customHeight="1">
      <c r="A41" s="6">
        <f t="shared" si="1"/>
        <v>4</v>
      </c>
      <c r="B41" s="42" t="s">
        <v>60</v>
      </c>
      <c r="C41" s="81" t="s">
        <v>32</v>
      </c>
      <c r="D41" s="82"/>
      <c r="E41" s="12"/>
      <c r="F41" s="13"/>
      <c r="G41" s="14"/>
      <c r="H41" s="15" t="str">
        <f t="shared" si="0"/>
        <v/>
      </c>
      <c r="I41" s="26"/>
      <c r="J41" s="83"/>
      <c r="K41" s="83"/>
      <c r="L41" s="83"/>
      <c r="M41" s="84"/>
    </row>
    <row r="42" spans="1:13" ht="13.5" customHeight="1">
      <c r="A42" s="6">
        <f t="shared" si="1"/>
        <v>4</v>
      </c>
      <c r="B42" s="42" t="s">
        <v>61</v>
      </c>
      <c r="C42" s="81" t="s">
        <v>34</v>
      </c>
      <c r="D42" s="82"/>
      <c r="E42" s="12"/>
      <c r="F42" s="13"/>
      <c r="G42" s="14"/>
      <c r="H42" s="15" t="str">
        <f t="shared" si="0"/>
        <v/>
      </c>
      <c r="I42" s="26"/>
      <c r="J42" s="83"/>
      <c r="K42" s="83"/>
      <c r="L42" s="83"/>
      <c r="M42" s="84"/>
    </row>
    <row r="43" spans="1:13" ht="13.5" customHeight="1">
      <c r="A43" s="6">
        <f t="shared" si="1"/>
        <v>4</v>
      </c>
      <c r="B43" s="42" t="s">
        <v>62</v>
      </c>
      <c r="C43" s="81" t="s">
        <v>36</v>
      </c>
      <c r="D43" s="82"/>
      <c r="E43" s="12"/>
      <c r="F43" s="13"/>
      <c r="G43" s="14"/>
      <c r="H43" s="15" t="str">
        <f t="shared" si="0"/>
        <v/>
      </c>
      <c r="I43" s="26"/>
      <c r="J43" s="83"/>
      <c r="K43" s="83"/>
      <c r="L43" s="83"/>
      <c r="M43" s="84"/>
    </row>
    <row r="44" spans="1:13" ht="13.5" customHeight="1">
      <c r="A44" s="6">
        <f t="shared" si="1"/>
        <v>4</v>
      </c>
      <c r="B44" s="42" t="s">
        <v>63</v>
      </c>
      <c r="C44" s="81" t="s">
        <v>39</v>
      </c>
      <c r="D44" s="82"/>
      <c r="E44" s="12"/>
      <c r="F44" s="13"/>
      <c r="G44" s="14"/>
      <c r="H44" s="15" t="str">
        <f t="shared" si="0"/>
        <v/>
      </c>
      <c r="I44" s="26"/>
      <c r="J44" s="83"/>
      <c r="K44" s="83"/>
      <c r="L44" s="83"/>
      <c r="M44" s="84"/>
    </row>
    <row r="45" spans="1:13" ht="13.5" customHeight="1">
      <c r="A45" s="6">
        <f t="shared" si="1"/>
        <v>4</v>
      </c>
      <c r="B45" s="42" t="s">
        <v>64</v>
      </c>
      <c r="C45" s="81" t="s">
        <v>42</v>
      </c>
      <c r="D45" s="82"/>
      <c r="E45" s="12"/>
      <c r="F45" s="13"/>
      <c r="G45" s="14"/>
      <c r="H45" s="15" t="str">
        <f t="shared" si="0"/>
        <v/>
      </c>
      <c r="I45" s="26"/>
      <c r="J45" s="83"/>
      <c r="K45" s="83"/>
      <c r="L45" s="83"/>
      <c r="M45" s="84"/>
    </row>
    <row r="46" spans="1:13" ht="13.5" customHeight="1">
      <c r="A46" s="6">
        <f t="shared" si="1"/>
        <v>4</v>
      </c>
      <c r="B46" s="42" t="s">
        <v>65</v>
      </c>
      <c r="C46" s="81" t="s">
        <v>28</v>
      </c>
      <c r="D46" s="82"/>
      <c r="E46" s="12"/>
      <c r="F46" s="13"/>
      <c r="G46" s="14"/>
      <c r="H46" s="15" t="str">
        <f t="shared" si="0"/>
        <v/>
      </c>
      <c r="I46" s="26"/>
      <c r="J46" s="83"/>
      <c r="K46" s="83"/>
      <c r="L46" s="83"/>
      <c r="M46" s="84"/>
    </row>
    <row r="47" spans="1:13" ht="13.5" customHeight="1">
      <c r="A47" s="6">
        <f t="shared" si="1"/>
        <v>4</v>
      </c>
      <c r="B47" s="42" t="s">
        <v>66</v>
      </c>
      <c r="C47" s="81" t="s">
        <v>30</v>
      </c>
      <c r="D47" s="82"/>
      <c r="E47" s="12"/>
      <c r="F47" s="13"/>
      <c r="G47" s="14"/>
      <c r="H47" s="15" t="str">
        <f t="shared" si="0"/>
        <v/>
      </c>
      <c r="I47" s="26"/>
      <c r="J47" s="83"/>
      <c r="K47" s="83"/>
      <c r="L47" s="83"/>
      <c r="M47" s="84"/>
    </row>
    <row r="48" spans="1:13" ht="13.5" customHeight="1">
      <c r="A48" s="43">
        <f t="shared" si="1"/>
        <v>4</v>
      </c>
      <c r="B48" s="44"/>
      <c r="C48" s="91"/>
      <c r="D48" s="92"/>
      <c r="E48" s="50"/>
      <c r="F48" s="51"/>
      <c r="G48" s="52"/>
      <c r="H48" s="53" t="str">
        <f t="shared" si="0"/>
        <v/>
      </c>
      <c r="I48" s="55"/>
      <c r="J48" s="93"/>
      <c r="K48" s="93"/>
      <c r="L48" s="93"/>
      <c r="M48" s="94"/>
    </row>
    <row r="49" spans="1:13" ht="13.5" customHeight="1">
      <c r="A49" s="95" t="s">
        <v>67</v>
      </c>
      <c r="B49" s="96"/>
      <c r="C49" s="96"/>
      <c r="D49" s="96"/>
      <c r="E49" s="96"/>
      <c r="F49" s="96"/>
      <c r="G49" s="97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95" t="s">
        <v>68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 spans="1:13" ht="57" customHeight="1">
      <c r="A52" s="98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99"/>
    </row>
    <row r="54" spans="1:13" ht="13.5" customHeight="1">
      <c r="A54" s="85" t="s">
        <v>69</v>
      </c>
      <c r="B54" s="86"/>
      <c r="C54" s="86"/>
      <c r="D54" s="87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88" t="s">
        <v>73</v>
      </c>
      <c r="B55" s="89"/>
      <c r="C55" s="89"/>
      <c r="D55" s="89"/>
      <c r="E55" s="89"/>
      <c r="F55" s="89"/>
      <c r="G55" s="89"/>
      <c r="H55" s="89"/>
      <c r="I55" s="89"/>
      <c r="J55" s="90"/>
      <c r="K55" s="30"/>
      <c r="L55" s="31"/>
      <c r="M55" s="37" t="s">
        <v>74</v>
      </c>
    </row>
  </sheetData>
  <mergeCells count="83">
    <mergeCell ref="A54:D54"/>
    <mergeCell ref="A55:J55"/>
    <mergeCell ref="C48:D48"/>
    <mergeCell ref="J48:M48"/>
    <mergeCell ref="A49:G49"/>
    <mergeCell ref="A51:M51"/>
    <mergeCell ref="A52:M52"/>
    <mergeCell ref="C45:D45"/>
    <mergeCell ref="J45:M45"/>
    <mergeCell ref="C46:D46"/>
    <mergeCell ref="J46:M46"/>
    <mergeCell ref="C47:D47"/>
    <mergeCell ref="J47:M47"/>
    <mergeCell ref="C42:D42"/>
    <mergeCell ref="J42:M42"/>
    <mergeCell ref="C43:D43"/>
    <mergeCell ref="J43:M43"/>
    <mergeCell ref="C44:D44"/>
    <mergeCell ref="J44:M44"/>
    <mergeCell ref="C39:D39"/>
    <mergeCell ref="J39:M39"/>
    <mergeCell ref="C40:D40"/>
    <mergeCell ref="J40:M40"/>
    <mergeCell ref="C41:D41"/>
    <mergeCell ref="J41:M41"/>
    <mergeCell ref="C36:D36"/>
    <mergeCell ref="J36:M36"/>
    <mergeCell ref="C37:D37"/>
    <mergeCell ref="J37:M37"/>
    <mergeCell ref="C38:D38"/>
    <mergeCell ref="J38:M38"/>
    <mergeCell ref="C33:D33"/>
    <mergeCell ref="J33:M33"/>
    <mergeCell ref="C34:D34"/>
    <mergeCell ref="J34:M34"/>
    <mergeCell ref="C35:D35"/>
    <mergeCell ref="J35:M35"/>
    <mergeCell ref="C30:D30"/>
    <mergeCell ref="J30:M30"/>
    <mergeCell ref="C31:D31"/>
    <mergeCell ref="J31:M31"/>
    <mergeCell ref="C32:D32"/>
    <mergeCell ref="J32:M32"/>
    <mergeCell ref="C27:D27"/>
    <mergeCell ref="J27:M27"/>
    <mergeCell ref="C28:D28"/>
    <mergeCell ref="J28:M28"/>
    <mergeCell ref="C29:D29"/>
    <mergeCell ref="J29:M29"/>
    <mergeCell ref="C24:D24"/>
    <mergeCell ref="J24:M24"/>
    <mergeCell ref="C25:D25"/>
    <mergeCell ref="J25:M25"/>
    <mergeCell ref="C26:D26"/>
    <mergeCell ref="J26:M26"/>
    <mergeCell ref="C21:D21"/>
    <mergeCell ref="J21:M21"/>
    <mergeCell ref="C22:D22"/>
    <mergeCell ref="J22:M22"/>
    <mergeCell ref="C23:D23"/>
    <mergeCell ref="J23:M23"/>
    <mergeCell ref="C18:D18"/>
    <mergeCell ref="J18:M18"/>
    <mergeCell ref="C19:D19"/>
    <mergeCell ref="J19:M19"/>
    <mergeCell ref="C20:D20"/>
    <mergeCell ref="J20:M20"/>
    <mergeCell ref="A15:C15"/>
    <mergeCell ref="D15:H15"/>
    <mergeCell ref="A17:B17"/>
    <mergeCell ref="C17:D17"/>
    <mergeCell ref="J17:M17"/>
    <mergeCell ref="J10:M10"/>
    <mergeCell ref="A11:B11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3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A38" workbookViewId="0">
      <selection activeCell="N51" sqref="N51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12">
        <v>2021</v>
      </c>
      <c r="B3" s="112"/>
      <c r="C3" s="114" t="s">
        <v>9</v>
      </c>
      <c r="D3" s="115"/>
      <c r="E3" s="109">
        <v>6</v>
      </c>
      <c r="F3" s="110" t="s">
        <v>39</v>
      </c>
      <c r="J3" s="100" t="s">
        <v>75</v>
      </c>
      <c r="K3" s="100"/>
      <c r="L3" s="100"/>
      <c r="M3" s="100"/>
    </row>
    <row r="4" spans="1:19" ht="13.5" customHeight="1">
      <c r="A4" s="113"/>
      <c r="B4" s="113"/>
      <c r="C4" s="116"/>
      <c r="D4" s="115"/>
      <c r="E4" s="109"/>
      <c r="F4" s="111"/>
      <c r="J4" s="19"/>
      <c r="K4" s="19"/>
      <c r="L4" s="19"/>
      <c r="M4" s="19"/>
    </row>
    <row r="5" spans="1:19" ht="13.5" customHeight="1">
      <c r="F5" s="7"/>
      <c r="J5" s="59" t="s">
        <v>76</v>
      </c>
      <c r="K5" s="59"/>
      <c r="L5" s="59"/>
      <c r="M5" s="32" t="s">
        <v>3</v>
      </c>
    </row>
    <row r="6" spans="1:19" ht="13.5" customHeight="1">
      <c r="F6" s="7"/>
      <c r="J6" s="101" t="s">
        <v>77</v>
      </c>
      <c r="K6" s="101"/>
      <c r="L6" s="101"/>
      <c r="M6" s="101"/>
    </row>
    <row r="7" spans="1:19" ht="13.5" customHeight="1">
      <c r="F7" s="7"/>
      <c r="J7" s="58"/>
      <c r="K7" s="58"/>
      <c r="L7" s="58"/>
      <c r="M7" s="58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01" t="s">
        <v>78</v>
      </c>
      <c r="K10" s="101"/>
      <c r="L10" s="101"/>
      <c r="M10" s="101"/>
      <c r="S10" t="s">
        <v>8</v>
      </c>
    </row>
    <row r="11" spans="1:19" ht="13.5" customHeight="1">
      <c r="F11" s="7"/>
      <c r="J11" s="58"/>
      <c r="K11" s="58"/>
      <c r="L11" s="58"/>
      <c r="M11" s="58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3" t="s">
        <v>12</v>
      </c>
      <c r="B14" s="63"/>
      <c r="C14" s="63"/>
      <c r="D14" s="64" t="s">
        <v>79</v>
      </c>
      <c r="E14" s="65"/>
      <c r="F14" s="65"/>
      <c r="G14" s="65"/>
      <c r="H14" s="66"/>
      <c r="I14" s="64"/>
      <c r="J14" s="66"/>
      <c r="K14" s="21" t="s">
        <v>15</v>
      </c>
      <c r="L14" s="22">
        <v>1391053</v>
      </c>
      <c r="M14" s="33">
        <v>1391063</v>
      </c>
    </row>
    <row r="15" spans="1:19" ht="13.5" customHeight="1">
      <c r="A15" s="67" t="s">
        <v>17</v>
      </c>
      <c r="B15" s="68"/>
      <c r="C15" s="68"/>
      <c r="D15" s="102" t="s">
        <v>119</v>
      </c>
      <c r="E15" s="70"/>
      <c r="F15" s="70"/>
      <c r="G15" s="70"/>
      <c r="H15" s="71"/>
      <c r="I15" s="23"/>
      <c r="J15" s="23"/>
      <c r="K15" s="24"/>
      <c r="L15" s="25"/>
      <c r="M15" s="34"/>
    </row>
    <row r="16" spans="1:19" ht="13.5" customHeight="1">
      <c r="A16" s="60"/>
      <c r="B16" s="60"/>
      <c r="C16" s="60"/>
    </row>
    <row r="17" spans="1:13" ht="30" customHeight="1">
      <c r="A17" s="72" t="s">
        <v>19</v>
      </c>
      <c r="B17" s="73"/>
      <c r="C17" s="74" t="s">
        <v>20</v>
      </c>
      <c r="D17" s="75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3" t="s">
        <v>80</v>
      </c>
      <c r="K17" s="73"/>
      <c r="L17" s="73"/>
      <c r="M17" s="76"/>
    </row>
    <row r="18" spans="1:13" ht="13.5" customHeight="1">
      <c r="A18" s="6">
        <f t="shared" ref="A18:A25" si="0">E$3</f>
        <v>6</v>
      </c>
      <c r="B18" s="56" t="s">
        <v>120</v>
      </c>
      <c r="C18" s="81" t="s">
        <v>42</v>
      </c>
      <c r="D18" s="82"/>
      <c r="E18" s="12">
        <v>0.375</v>
      </c>
      <c r="F18" s="13">
        <v>0.75</v>
      </c>
      <c r="G18" s="14">
        <v>4.1666666666666664E-2</v>
      </c>
      <c r="H18" s="15">
        <f t="shared" ref="H18:H24" si="1">IF(OR(E18="",F18=""),"",F18-E18-G18)</f>
        <v>0.33333333333333331</v>
      </c>
      <c r="I18" s="26">
        <v>1</v>
      </c>
      <c r="J18" s="104" t="s">
        <v>82</v>
      </c>
      <c r="K18" s="83"/>
      <c r="L18" s="83"/>
      <c r="M18" s="84"/>
    </row>
    <row r="19" spans="1:13" ht="13.5" customHeight="1">
      <c r="A19" s="6">
        <f t="shared" si="0"/>
        <v>6</v>
      </c>
      <c r="B19" s="56" t="s">
        <v>29</v>
      </c>
      <c r="C19" s="81" t="s">
        <v>28</v>
      </c>
      <c r="D19" s="82"/>
      <c r="E19" s="12"/>
      <c r="F19" s="13"/>
      <c r="G19" s="14"/>
      <c r="H19" s="15"/>
      <c r="I19" s="26"/>
      <c r="J19" s="83"/>
      <c r="K19" s="83"/>
      <c r="L19" s="83"/>
      <c r="M19" s="84"/>
    </row>
    <row r="20" spans="1:13" ht="13.5" customHeight="1">
      <c r="A20" s="6">
        <f t="shared" si="0"/>
        <v>6</v>
      </c>
      <c r="B20" s="56" t="s">
        <v>31</v>
      </c>
      <c r="C20" s="81" t="s">
        <v>30</v>
      </c>
      <c r="D20" s="82"/>
      <c r="E20" s="12">
        <v>0.375</v>
      </c>
      <c r="F20" s="13">
        <v>0.75</v>
      </c>
      <c r="G20" s="14">
        <v>4.1666666666666699E-2</v>
      </c>
      <c r="H20" s="15">
        <f t="shared" si="1"/>
        <v>0.33333333333333331</v>
      </c>
      <c r="I20" s="26">
        <v>1</v>
      </c>
      <c r="J20" s="83" t="s">
        <v>81</v>
      </c>
      <c r="K20" s="83"/>
      <c r="L20" s="83"/>
      <c r="M20" s="84"/>
    </row>
    <row r="21" spans="1:13" ht="13.5" customHeight="1">
      <c r="A21" s="6">
        <f t="shared" si="0"/>
        <v>6</v>
      </c>
      <c r="B21" s="56" t="s">
        <v>33</v>
      </c>
      <c r="C21" s="103" t="s">
        <v>32</v>
      </c>
      <c r="D21" s="82"/>
      <c r="E21" s="12">
        <v>0.375</v>
      </c>
      <c r="F21" s="13">
        <v>0.83333333333333337</v>
      </c>
      <c r="G21" s="14">
        <v>4.1666666666666664E-2</v>
      </c>
      <c r="H21" s="15">
        <f t="shared" si="1"/>
        <v>0.41666666666666669</v>
      </c>
      <c r="I21" s="26">
        <v>1</v>
      </c>
      <c r="J21" s="104" t="s">
        <v>109</v>
      </c>
      <c r="K21" s="83"/>
      <c r="L21" s="83"/>
      <c r="M21" s="84"/>
    </row>
    <row r="22" spans="1:13" ht="13.5" customHeight="1">
      <c r="A22" s="6">
        <f t="shared" si="0"/>
        <v>6</v>
      </c>
      <c r="B22" s="56" t="s">
        <v>35</v>
      </c>
      <c r="C22" s="103" t="s">
        <v>34</v>
      </c>
      <c r="D22" s="82"/>
      <c r="E22" s="12"/>
      <c r="F22" s="13"/>
      <c r="G22" s="14"/>
      <c r="H22" s="15" t="str">
        <f t="shared" si="1"/>
        <v/>
      </c>
      <c r="I22" s="26"/>
      <c r="J22" s="83"/>
      <c r="K22" s="83"/>
      <c r="L22" s="83"/>
      <c r="M22" s="84"/>
    </row>
    <row r="23" spans="1:13" ht="13.5" customHeight="1">
      <c r="A23" s="6">
        <f t="shared" si="0"/>
        <v>6</v>
      </c>
      <c r="B23" s="56" t="s">
        <v>38</v>
      </c>
      <c r="C23" s="103" t="s">
        <v>36</v>
      </c>
      <c r="D23" s="82"/>
      <c r="E23" s="12"/>
      <c r="F23" s="13"/>
      <c r="G23" s="14"/>
      <c r="H23" s="15" t="str">
        <f t="shared" si="1"/>
        <v/>
      </c>
      <c r="I23" s="26"/>
      <c r="J23" s="83"/>
      <c r="K23" s="83"/>
      <c r="L23" s="83"/>
      <c r="M23" s="84"/>
    </row>
    <row r="24" spans="1:13" ht="13.5" customHeight="1">
      <c r="A24" s="6">
        <f t="shared" si="0"/>
        <v>6</v>
      </c>
      <c r="B24" s="56" t="s">
        <v>41</v>
      </c>
      <c r="C24" s="108" t="s">
        <v>102</v>
      </c>
      <c r="D24" s="82"/>
      <c r="E24" s="12">
        <v>0.375</v>
      </c>
      <c r="F24" s="13">
        <v>0.75</v>
      </c>
      <c r="G24" s="14">
        <v>4.1666666666666664E-2</v>
      </c>
      <c r="H24" s="15">
        <f t="shared" si="1"/>
        <v>0.33333333333333331</v>
      </c>
      <c r="I24" s="26">
        <v>1</v>
      </c>
      <c r="J24" s="104" t="s">
        <v>110</v>
      </c>
      <c r="K24" s="83"/>
      <c r="L24" s="83"/>
      <c r="M24" s="84"/>
    </row>
    <row r="25" spans="1:13" ht="13.5" customHeight="1">
      <c r="A25" s="6">
        <f t="shared" si="0"/>
        <v>6</v>
      </c>
      <c r="B25" s="56" t="s">
        <v>44</v>
      </c>
      <c r="C25" s="108" t="s">
        <v>104</v>
      </c>
      <c r="D25" s="82"/>
      <c r="E25" s="12">
        <v>0.375</v>
      </c>
      <c r="F25" s="13">
        <v>0.75</v>
      </c>
      <c r="G25" s="14">
        <v>4.1666666666666699E-2</v>
      </c>
      <c r="H25" s="15">
        <f t="shared" ref="H25:H35" si="2">IF(OR(E25="",F25=""),"",F25-E25-G25)</f>
        <v>0.33333333333333331</v>
      </c>
      <c r="I25" s="26">
        <v>1</v>
      </c>
      <c r="J25" s="83" t="s">
        <v>81</v>
      </c>
      <c r="K25" s="83"/>
      <c r="L25" s="83"/>
      <c r="M25" s="84"/>
    </row>
    <row r="26" spans="1:13" ht="13.5" customHeight="1">
      <c r="A26" s="6">
        <f>E$3</f>
        <v>6</v>
      </c>
      <c r="B26" s="56" t="s">
        <v>45</v>
      </c>
      <c r="C26" s="108" t="s">
        <v>106</v>
      </c>
      <c r="D26" s="82"/>
      <c r="E26" s="12">
        <v>0.375</v>
      </c>
      <c r="F26" s="13">
        <v>0.75</v>
      </c>
      <c r="G26" s="14">
        <v>4.1666666666666699E-2</v>
      </c>
      <c r="H26" s="15">
        <f t="shared" si="2"/>
        <v>0.33333333333333331</v>
      </c>
      <c r="I26" s="26">
        <v>1</v>
      </c>
      <c r="J26" s="83" t="s">
        <v>81</v>
      </c>
      <c r="K26" s="83"/>
      <c r="L26" s="83"/>
      <c r="M26" s="84"/>
    </row>
    <row r="27" spans="1:13" ht="13.5" customHeight="1">
      <c r="A27" s="6">
        <f>E$3</f>
        <v>6</v>
      </c>
      <c r="B27" s="56" t="s">
        <v>83</v>
      </c>
      <c r="C27" s="108" t="s">
        <v>108</v>
      </c>
      <c r="D27" s="82"/>
      <c r="E27" s="12">
        <v>0.375</v>
      </c>
      <c r="F27" s="13">
        <v>0.83333333333333337</v>
      </c>
      <c r="G27" s="14">
        <v>4.1666666666666699E-2</v>
      </c>
      <c r="H27" s="15">
        <f t="shared" si="2"/>
        <v>0.41666666666666669</v>
      </c>
      <c r="I27" s="26">
        <v>1</v>
      </c>
      <c r="J27" s="104" t="s">
        <v>82</v>
      </c>
      <c r="K27" s="83"/>
      <c r="L27" s="83"/>
      <c r="M27" s="84"/>
    </row>
    <row r="28" spans="1:13" ht="13.5" customHeight="1">
      <c r="A28" s="6">
        <f>E$3</f>
        <v>6</v>
      </c>
      <c r="B28" s="56" t="s">
        <v>84</v>
      </c>
      <c r="C28" s="81" t="s">
        <v>32</v>
      </c>
      <c r="D28" s="82"/>
      <c r="E28" s="12">
        <v>0.375</v>
      </c>
      <c r="F28" s="13">
        <v>0.75</v>
      </c>
      <c r="G28" s="14">
        <v>4.1666666666666699E-2</v>
      </c>
      <c r="H28" s="15">
        <f t="shared" si="2"/>
        <v>0.33333333333333331</v>
      </c>
      <c r="I28" s="26">
        <v>1</v>
      </c>
      <c r="J28" s="104" t="s">
        <v>111</v>
      </c>
      <c r="K28" s="83"/>
      <c r="L28" s="83"/>
      <c r="M28" s="84"/>
    </row>
    <row r="29" spans="1:13" ht="13.5" customHeight="1">
      <c r="A29" s="6">
        <f t="shared" ref="A29:A47" si="3">E$3</f>
        <v>6</v>
      </c>
      <c r="B29" s="56" t="s">
        <v>85</v>
      </c>
      <c r="C29" s="103" t="s">
        <v>34</v>
      </c>
      <c r="D29" s="82"/>
      <c r="E29" s="12"/>
      <c r="F29" s="13"/>
      <c r="G29" s="14"/>
      <c r="H29" s="15" t="str">
        <f t="shared" si="2"/>
        <v/>
      </c>
      <c r="I29" s="26"/>
      <c r="J29" s="104"/>
      <c r="K29" s="83"/>
      <c r="L29" s="83"/>
      <c r="M29" s="84"/>
    </row>
    <row r="30" spans="1:13" ht="13.5" customHeight="1">
      <c r="A30" s="6">
        <f t="shared" si="3"/>
        <v>6</v>
      </c>
      <c r="B30" s="56" t="s">
        <v>86</v>
      </c>
      <c r="C30" s="103" t="s">
        <v>36</v>
      </c>
      <c r="D30" s="82"/>
      <c r="E30" s="12"/>
      <c r="F30" s="13"/>
      <c r="G30" s="14"/>
      <c r="H30" s="15" t="str">
        <f t="shared" si="2"/>
        <v/>
      </c>
      <c r="I30" s="26"/>
      <c r="J30" s="104"/>
      <c r="K30" s="83"/>
      <c r="L30" s="83"/>
      <c r="M30" s="84"/>
    </row>
    <row r="31" spans="1:13" ht="13.5" customHeight="1">
      <c r="A31" s="6">
        <f t="shared" si="3"/>
        <v>6</v>
      </c>
      <c r="B31" s="56" t="s">
        <v>87</v>
      </c>
      <c r="C31" s="108" t="s">
        <v>103</v>
      </c>
      <c r="D31" s="82"/>
      <c r="E31" s="12">
        <v>0.375</v>
      </c>
      <c r="F31" s="13">
        <v>0.75</v>
      </c>
      <c r="G31" s="14">
        <v>4.1666666666666699E-2</v>
      </c>
      <c r="H31" s="15">
        <f t="shared" si="2"/>
        <v>0.33333333333333331</v>
      </c>
      <c r="I31" s="26">
        <v>1</v>
      </c>
      <c r="J31" s="104" t="s">
        <v>112</v>
      </c>
      <c r="K31" s="83"/>
      <c r="L31" s="83"/>
      <c r="M31" s="84"/>
    </row>
    <row r="32" spans="1:13" ht="13.5" customHeight="1">
      <c r="A32" s="6">
        <f t="shared" si="3"/>
        <v>6</v>
      </c>
      <c r="B32" s="56" t="s">
        <v>88</v>
      </c>
      <c r="C32" s="108" t="s">
        <v>105</v>
      </c>
      <c r="D32" s="82"/>
      <c r="E32" s="12">
        <v>0.375</v>
      </c>
      <c r="F32" s="13">
        <v>0.79166666666666663</v>
      </c>
      <c r="G32" s="14">
        <v>4.1666666666666699E-2</v>
      </c>
      <c r="H32" s="15">
        <f t="shared" si="2"/>
        <v>0.37499999999999994</v>
      </c>
      <c r="I32" s="26">
        <v>1</v>
      </c>
      <c r="J32" s="104" t="s">
        <v>111</v>
      </c>
      <c r="K32" s="83"/>
      <c r="L32" s="83"/>
      <c r="M32" s="84"/>
    </row>
    <row r="33" spans="1:13" ht="13.5" customHeight="1">
      <c r="A33" s="6">
        <f t="shared" si="3"/>
        <v>6</v>
      </c>
      <c r="B33" s="56" t="s">
        <v>89</v>
      </c>
      <c r="C33" s="108" t="s">
        <v>107</v>
      </c>
      <c r="D33" s="82"/>
      <c r="E33" s="12">
        <v>0.375</v>
      </c>
      <c r="F33" s="13">
        <v>0.79166666666666663</v>
      </c>
      <c r="G33" s="14">
        <v>4.1666666666666699E-2</v>
      </c>
      <c r="H33" s="15">
        <f t="shared" si="2"/>
        <v>0.37499999999999994</v>
      </c>
      <c r="I33" s="26">
        <v>1</v>
      </c>
      <c r="J33" s="104" t="s">
        <v>112</v>
      </c>
      <c r="K33" s="83"/>
      <c r="L33" s="83"/>
      <c r="M33" s="84"/>
    </row>
    <row r="34" spans="1:13" ht="13.5" customHeight="1">
      <c r="A34" s="6">
        <f t="shared" si="3"/>
        <v>6</v>
      </c>
      <c r="B34" s="56" t="s">
        <v>90</v>
      </c>
      <c r="C34" s="108" t="s">
        <v>108</v>
      </c>
      <c r="D34" s="82"/>
      <c r="E34" s="12">
        <v>0.375</v>
      </c>
      <c r="F34" s="13">
        <v>0.75</v>
      </c>
      <c r="G34" s="14">
        <v>4.1666666666666699E-2</v>
      </c>
      <c r="H34" s="15">
        <f t="shared" si="2"/>
        <v>0.33333333333333331</v>
      </c>
      <c r="I34" s="26">
        <v>1</v>
      </c>
      <c r="J34" s="105" t="s">
        <v>112</v>
      </c>
      <c r="K34" s="106"/>
      <c r="L34" s="106"/>
      <c r="M34" s="107"/>
    </row>
    <row r="35" spans="1:13" ht="13.5" customHeight="1">
      <c r="A35" s="6">
        <f t="shared" si="3"/>
        <v>6</v>
      </c>
      <c r="B35" s="56" t="s">
        <v>91</v>
      </c>
      <c r="C35" s="81" t="s">
        <v>32</v>
      </c>
      <c r="D35" s="82"/>
      <c r="E35" s="12">
        <v>0.375</v>
      </c>
      <c r="F35" s="13">
        <v>0.83333333333333337</v>
      </c>
      <c r="G35" s="14">
        <v>4.1666666666666699E-2</v>
      </c>
      <c r="H35" s="15">
        <f t="shared" si="2"/>
        <v>0.41666666666666669</v>
      </c>
      <c r="I35" s="26">
        <v>1</v>
      </c>
      <c r="J35" s="105" t="s">
        <v>112</v>
      </c>
      <c r="K35" s="106"/>
      <c r="L35" s="106"/>
      <c r="M35" s="107"/>
    </row>
    <row r="36" spans="1:13" ht="13.5" customHeight="1">
      <c r="A36" s="6">
        <f t="shared" si="3"/>
        <v>6</v>
      </c>
      <c r="B36" s="56" t="s">
        <v>92</v>
      </c>
      <c r="C36" s="103" t="s">
        <v>34</v>
      </c>
      <c r="D36" s="82"/>
      <c r="E36" s="12"/>
      <c r="F36" s="13"/>
      <c r="G36" s="14"/>
      <c r="H36" s="15"/>
      <c r="I36" s="26"/>
      <c r="J36" s="105"/>
      <c r="K36" s="106"/>
      <c r="L36" s="106"/>
      <c r="M36" s="107"/>
    </row>
    <row r="37" spans="1:13" ht="13.5" customHeight="1">
      <c r="A37" s="6">
        <f t="shared" si="3"/>
        <v>6</v>
      </c>
      <c r="B37" s="56" t="s">
        <v>93</v>
      </c>
      <c r="C37" s="103" t="s">
        <v>115</v>
      </c>
      <c r="D37" s="82"/>
      <c r="E37" s="12"/>
      <c r="F37" s="13"/>
      <c r="G37" s="14"/>
      <c r="H37" s="15"/>
      <c r="I37" s="26"/>
      <c r="J37" s="105"/>
      <c r="K37" s="106"/>
      <c r="L37" s="106"/>
      <c r="M37" s="107"/>
    </row>
    <row r="38" spans="1:13" ht="13.5" customHeight="1">
      <c r="A38" s="6">
        <f t="shared" si="3"/>
        <v>6</v>
      </c>
      <c r="B38" s="56" t="s">
        <v>94</v>
      </c>
      <c r="C38" s="103" t="s">
        <v>116</v>
      </c>
      <c r="D38" s="82"/>
      <c r="E38" s="12">
        <v>0.375</v>
      </c>
      <c r="F38" s="13">
        <v>0.75</v>
      </c>
      <c r="G38" s="14">
        <v>4.1666666666666699E-2</v>
      </c>
      <c r="H38" s="15">
        <f t="shared" ref="H38:H42" si="4">IF(OR(E38="",F38=""),"",F38-E38-G38)</f>
        <v>0.33333333333333331</v>
      </c>
      <c r="I38" s="26">
        <v>1</v>
      </c>
      <c r="J38" s="105" t="s">
        <v>82</v>
      </c>
      <c r="K38" s="106"/>
      <c r="L38" s="106"/>
      <c r="M38" s="107"/>
    </row>
    <row r="39" spans="1:13" ht="13.5" customHeight="1">
      <c r="A39" s="6">
        <f t="shared" si="3"/>
        <v>6</v>
      </c>
      <c r="B39" s="56" t="s">
        <v>95</v>
      </c>
      <c r="C39" s="103" t="s">
        <v>117</v>
      </c>
      <c r="D39" s="82"/>
      <c r="E39" s="12"/>
      <c r="F39" s="13"/>
      <c r="G39" s="14"/>
      <c r="H39" s="15"/>
      <c r="I39" s="26"/>
      <c r="J39" s="105"/>
      <c r="K39" s="106"/>
      <c r="L39" s="106"/>
      <c r="M39" s="107"/>
    </row>
    <row r="40" spans="1:13" ht="13.5" customHeight="1">
      <c r="A40" s="6">
        <f t="shared" si="3"/>
        <v>6</v>
      </c>
      <c r="B40" s="56" t="s">
        <v>96</v>
      </c>
      <c r="C40" s="103" t="s">
        <v>118</v>
      </c>
      <c r="D40" s="82"/>
      <c r="E40" s="12">
        <v>0.375</v>
      </c>
      <c r="F40" s="13">
        <v>0.75</v>
      </c>
      <c r="G40" s="14">
        <v>4.1666666666666699E-2</v>
      </c>
      <c r="H40" s="15">
        <f t="shared" si="4"/>
        <v>0.33333333333333331</v>
      </c>
      <c r="I40" s="26">
        <v>1</v>
      </c>
      <c r="J40" s="105" t="s">
        <v>82</v>
      </c>
      <c r="K40" s="106"/>
      <c r="L40" s="106"/>
      <c r="M40" s="107"/>
    </row>
    <row r="41" spans="1:13" ht="13.5" customHeight="1">
      <c r="A41" s="6">
        <f t="shared" si="3"/>
        <v>6</v>
      </c>
      <c r="B41" s="56" t="s">
        <v>97</v>
      </c>
      <c r="C41" s="108" t="s">
        <v>108</v>
      </c>
      <c r="D41" s="82"/>
      <c r="E41" s="12">
        <v>0.33333333333333331</v>
      </c>
      <c r="F41" s="13">
        <v>0.75</v>
      </c>
      <c r="G41" s="14">
        <v>4.1666666666666699E-2</v>
      </c>
      <c r="H41" s="15">
        <f t="shared" si="4"/>
        <v>0.375</v>
      </c>
      <c r="I41" s="26">
        <v>1</v>
      </c>
      <c r="J41" s="105" t="s">
        <v>82</v>
      </c>
      <c r="K41" s="106"/>
      <c r="L41" s="106"/>
      <c r="M41" s="107"/>
    </row>
    <row r="42" spans="1:13" ht="13.5" customHeight="1">
      <c r="A42" s="6">
        <f t="shared" si="3"/>
        <v>6</v>
      </c>
      <c r="B42" s="56" t="s">
        <v>98</v>
      </c>
      <c r="C42" s="81" t="s">
        <v>32</v>
      </c>
      <c r="D42" s="82"/>
      <c r="E42" s="12">
        <v>0.375</v>
      </c>
      <c r="F42" s="13">
        <v>0.75</v>
      </c>
      <c r="G42" s="14">
        <v>4.1666666666666699E-2</v>
      </c>
      <c r="H42" s="15">
        <f t="shared" si="4"/>
        <v>0.33333333333333331</v>
      </c>
      <c r="I42" s="26">
        <v>1</v>
      </c>
      <c r="J42" s="105" t="s">
        <v>82</v>
      </c>
      <c r="K42" s="106"/>
      <c r="L42" s="106"/>
      <c r="M42" s="107"/>
    </row>
    <row r="43" spans="1:13" ht="13.5" customHeight="1">
      <c r="A43" s="6">
        <f t="shared" si="3"/>
        <v>6</v>
      </c>
      <c r="B43" s="56" t="s">
        <v>99</v>
      </c>
      <c r="C43" s="103" t="s">
        <v>34</v>
      </c>
      <c r="D43" s="82"/>
      <c r="E43" s="12"/>
      <c r="F43" s="13"/>
      <c r="G43" s="14"/>
      <c r="H43" s="15"/>
      <c r="I43" s="26"/>
      <c r="J43" s="105"/>
      <c r="K43" s="106"/>
      <c r="L43" s="106"/>
      <c r="M43" s="107"/>
    </row>
    <row r="44" spans="1:13" ht="13.5" customHeight="1">
      <c r="A44" s="6">
        <f t="shared" si="3"/>
        <v>6</v>
      </c>
      <c r="B44" s="56" t="s">
        <v>100</v>
      </c>
      <c r="C44" s="103" t="s">
        <v>115</v>
      </c>
      <c r="D44" s="82"/>
      <c r="E44" s="12"/>
      <c r="F44" s="13"/>
      <c r="G44" s="14"/>
      <c r="H44" s="15"/>
      <c r="I44" s="26"/>
      <c r="J44" s="105"/>
      <c r="K44" s="106"/>
      <c r="L44" s="106"/>
      <c r="M44" s="107"/>
    </row>
    <row r="45" spans="1:13" ht="13.5" customHeight="1">
      <c r="A45" s="6">
        <f t="shared" si="3"/>
        <v>6</v>
      </c>
      <c r="B45" s="56" t="s">
        <v>101</v>
      </c>
      <c r="C45" s="103" t="s">
        <v>116</v>
      </c>
      <c r="D45" s="82"/>
      <c r="E45" s="12">
        <v>0.375</v>
      </c>
      <c r="F45" s="13">
        <v>0.75</v>
      </c>
      <c r="G45" s="14">
        <v>4.1666666666666699E-2</v>
      </c>
      <c r="H45" s="15">
        <f t="shared" ref="H45:H47" si="5">IF(OR(E45="",F45=""),"",F45-E45-G45)</f>
        <v>0.33333333333333331</v>
      </c>
      <c r="I45" s="26">
        <v>1</v>
      </c>
      <c r="J45" s="105" t="s">
        <v>82</v>
      </c>
      <c r="K45" s="106"/>
      <c r="L45" s="106"/>
      <c r="M45" s="107"/>
    </row>
    <row r="46" spans="1:13" ht="13.5" customHeight="1">
      <c r="A46" s="6">
        <f t="shared" si="3"/>
        <v>6</v>
      </c>
      <c r="B46" s="56" t="s">
        <v>113</v>
      </c>
      <c r="C46" s="103" t="s">
        <v>117</v>
      </c>
      <c r="D46" s="82"/>
      <c r="E46" s="12">
        <v>0.375</v>
      </c>
      <c r="F46" s="13">
        <v>0.75</v>
      </c>
      <c r="G46" s="14">
        <v>4.1666666666666699E-2</v>
      </c>
      <c r="H46" s="15">
        <f t="shared" si="5"/>
        <v>0.33333333333333331</v>
      </c>
      <c r="I46" s="26">
        <v>1</v>
      </c>
      <c r="J46" s="105" t="s">
        <v>82</v>
      </c>
      <c r="K46" s="106"/>
      <c r="L46" s="106"/>
      <c r="M46" s="107"/>
    </row>
    <row r="47" spans="1:13" ht="13.5" customHeight="1">
      <c r="A47" s="6">
        <f t="shared" si="3"/>
        <v>6</v>
      </c>
      <c r="B47" s="56" t="s">
        <v>114</v>
      </c>
      <c r="C47" s="103" t="s">
        <v>118</v>
      </c>
      <c r="D47" s="82"/>
      <c r="E47" s="12">
        <v>0.375</v>
      </c>
      <c r="F47" s="13">
        <v>0.75</v>
      </c>
      <c r="G47" s="14">
        <v>4.1666666666666699E-2</v>
      </c>
      <c r="H47" s="15">
        <f t="shared" si="5"/>
        <v>0.33333333333333331</v>
      </c>
      <c r="I47" s="26">
        <v>1</v>
      </c>
      <c r="J47" s="105" t="s">
        <v>82</v>
      </c>
      <c r="K47" s="106"/>
      <c r="L47" s="106"/>
      <c r="M47" s="107"/>
    </row>
    <row r="48" spans="1:13" ht="13.5" customHeight="1">
      <c r="A48" s="95" t="s">
        <v>67</v>
      </c>
      <c r="B48" s="96"/>
      <c r="C48" s="96"/>
      <c r="D48" s="96"/>
      <c r="E48" s="96"/>
      <c r="F48" s="96"/>
      <c r="G48" s="97"/>
      <c r="H48" s="16">
        <f>SUM(H18:H45)</f>
        <v>6.3749999999999991</v>
      </c>
      <c r="I48" s="27"/>
      <c r="J48" s="28"/>
      <c r="K48" s="28"/>
      <c r="L48" s="28"/>
      <c r="M48" s="35"/>
    </row>
    <row r="50" spans="1:13" ht="13.5" customHeight="1">
      <c r="A50" s="95" t="s">
        <v>68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7"/>
    </row>
    <row r="51" spans="1:13" ht="57" customHeight="1">
      <c r="A51" s="117" t="s">
        <v>121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99"/>
    </row>
    <row r="53" spans="1:13" ht="13.5" customHeight="1">
      <c r="A53" s="85" t="s">
        <v>69</v>
      </c>
      <c r="B53" s="86"/>
      <c r="C53" s="86"/>
      <c r="D53" s="87"/>
      <c r="E53" s="17"/>
      <c r="F53" s="18"/>
      <c r="G53" s="18"/>
      <c r="H53" s="18"/>
      <c r="I53" s="18"/>
      <c r="J53" s="18"/>
      <c r="K53" s="29" t="s">
        <v>70</v>
      </c>
      <c r="L53" s="29" t="s">
        <v>71</v>
      </c>
      <c r="M53" s="36" t="s">
        <v>72</v>
      </c>
    </row>
    <row r="54" spans="1:13" ht="57" customHeight="1">
      <c r="A54" s="88" t="s">
        <v>73</v>
      </c>
      <c r="B54" s="89"/>
      <c r="C54" s="89"/>
      <c r="D54" s="89"/>
      <c r="E54" s="89"/>
      <c r="F54" s="89"/>
      <c r="G54" s="89"/>
      <c r="H54" s="89"/>
      <c r="I54" s="89"/>
      <c r="J54" s="90"/>
      <c r="K54" s="30"/>
      <c r="L54" s="31"/>
      <c r="M54" s="37" t="s">
        <v>74</v>
      </c>
    </row>
  </sheetData>
  <mergeCells count="85">
    <mergeCell ref="J38:M38"/>
    <mergeCell ref="C37:D37"/>
    <mergeCell ref="C38:D38"/>
    <mergeCell ref="C39:D39"/>
    <mergeCell ref="C46:D46"/>
    <mergeCell ref="J37:M37"/>
    <mergeCell ref="J39:M39"/>
    <mergeCell ref="J40:M40"/>
    <mergeCell ref="J41:M41"/>
    <mergeCell ref="J42:M42"/>
    <mergeCell ref="J43:M43"/>
    <mergeCell ref="J44:M44"/>
    <mergeCell ref="J45:M45"/>
    <mergeCell ref="J46:M46"/>
    <mergeCell ref="A51:M51"/>
    <mergeCell ref="C41:D41"/>
    <mergeCell ref="C42:D42"/>
    <mergeCell ref="C43:D43"/>
    <mergeCell ref="C40:D40"/>
    <mergeCell ref="C44:D44"/>
    <mergeCell ref="C47:D47"/>
    <mergeCell ref="J47:M47"/>
    <mergeCell ref="C24:D24"/>
    <mergeCell ref="C35:D35"/>
    <mergeCell ref="C36:D36"/>
    <mergeCell ref="J35:M35"/>
    <mergeCell ref="J36:M36"/>
    <mergeCell ref="C34:D34"/>
    <mergeCell ref="A53:D53"/>
    <mergeCell ref="A50:M50"/>
    <mergeCell ref="A54:J54"/>
    <mergeCell ref="E3:E4"/>
    <mergeCell ref="F3:F4"/>
    <mergeCell ref="A3:B4"/>
    <mergeCell ref="C3:D4"/>
    <mergeCell ref="C29:D29"/>
    <mergeCell ref="C30:D30"/>
    <mergeCell ref="J28:M28"/>
    <mergeCell ref="J29:M29"/>
    <mergeCell ref="J30:M30"/>
    <mergeCell ref="C28:D28"/>
    <mergeCell ref="C45:D45"/>
    <mergeCell ref="A48:G48"/>
    <mergeCell ref="C23:D23"/>
    <mergeCell ref="J23:M23"/>
    <mergeCell ref="J24:M24"/>
    <mergeCell ref="J34:M34"/>
    <mergeCell ref="C25:D25"/>
    <mergeCell ref="J25:M25"/>
    <mergeCell ref="C26:D26"/>
    <mergeCell ref="J26:M26"/>
    <mergeCell ref="C27:D27"/>
    <mergeCell ref="J27:M27"/>
    <mergeCell ref="C31:D31"/>
    <mergeCell ref="C32:D32"/>
    <mergeCell ref="C33:D33"/>
    <mergeCell ref="J31:M31"/>
    <mergeCell ref="J32:M32"/>
    <mergeCell ref="J33:M33"/>
    <mergeCell ref="C20:D20"/>
    <mergeCell ref="J20:M20"/>
    <mergeCell ref="C21:D21"/>
    <mergeCell ref="J21:M21"/>
    <mergeCell ref="C22:D22"/>
    <mergeCell ref="J22:M22"/>
    <mergeCell ref="C18:D18"/>
    <mergeCell ref="J18:M18"/>
    <mergeCell ref="C19:D19"/>
    <mergeCell ref="J19:M19"/>
    <mergeCell ref="J17:M17"/>
    <mergeCell ref="A15:C15"/>
    <mergeCell ref="D15:H15"/>
    <mergeCell ref="A16:C16"/>
    <mergeCell ref="A17:B17"/>
    <mergeCell ref="C17:D17"/>
    <mergeCell ref="J10:M10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3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2021-06-30T00:22:01Z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